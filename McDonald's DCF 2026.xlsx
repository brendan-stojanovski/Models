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"/>
    </mc:Choice>
  </mc:AlternateContent>
  <xr:revisionPtr revIDLastSave="0" documentId="13_ncr:1_{F35769A3-AD4B-4FA6-BD34-54C53B0913A6}" xr6:coauthVersionLast="47" xr6:coauthVersionMax="47" xr10:uidLastSave="{00000000-0000-0000-0000-000000000000}"/>
  <bookViews>
    <workbookView xWindow="20370" yWindow="-4770" windowWidth="29040" windowHeight="15720" xr2:uid="{31A6C1DF-EF32-4250-9F25-7EEF0AD67980}"/>
  </bookViews>
  <sheets>
    <sheet name="DCF" sheetId="2" r:id="rId1"/>
    <sheet name="Summary" sheetId="9" r:id="rId2"/>
    <sheet name="Comps" sheetId="7" r:id="rId3"/>
    <sheet name="52 Week Share Price" sheetId="8" r:id="rId4"/>
    <sheet name="BS" sheetId="5" r:id="rId5"/>
    <sheet name="IS" sheetId="3" r:id="rId6"/>
    <sheet name="Estimates IS" sheetId="4" r:id="rId7"/>
    <sheet name="WACC" sheetId="6" r:id="rId8"/>
  </sheets>
  <definedNames>
    <definedName name="D">WACC!$D$15</definedName>
    <definedName name="D_perc">WACC!$D$17</definedName>
    <definedName name="E">WACC!$D$14</definedName>
    <definedName name="E_perc">WACC!$D$16</definedName>
    <definedName name="kd">WACC!$D$19</definedName>
    <definedName name="ke">WACC!$D$12</definedName>
    <definedName name="Tax_shield">WACC!$D$18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9" l="1"/>
  <c r="E19" i="9"/>
  <c r="F19" i="9"/>
  <c r="D20" i="9"/>
  <c r="E20" i="9"/>
  <c r="F20" i="9"/>
  <c r="D21" i="9"/>
  <c r="E21" i="9"/>
  <c r="F21" i="9"/>
  <c r="F18" i="9"/>
  <c r="E18" i="9" s="1"/>
  <c r="D18" i="9"/>
  <c r="F17" i="9"/>
  <c r="D17" i="9"/>
  <c r="E17" i="9" s="1"/>
  <c r="E111" i="2"/>
  <c r="E112" i="2" s="1"/>
  <c r="E113" i="2" s="1"/>
  <c r="E114" i="2" s="1"/>
  <c r="G109" i="2"/>
  <c r="H109" i="2" s="1"/>
  <c r="I109" i="2" s="1"/>
  <c r="J109" i="2" s="1"/>
  <c r="K109" i="2" s="1"/>
  <c r="L109" i="2" s="1"/>
  <c r="D23" i="7" a="1"/>
  <c r="D23" i="7" s="1"/>
  <c r="F33" i="7"/>
  <c r="F34" i="7" s="1"/>
  <c r="F35" i="7" s="1"/>
  <c r="D33" i="7"/>
  <c r="D34" i="7" s="1"/>
  <c r="D35" i="7" s="1"/>
  <c r="E32" i="7"/>
  <c r="E33" i="7" s="1"/>
  <c r="E34" i="7" s="1"/>
  <c r="E35" i="7" s="1"/>
  <c r="F32" i="7"/>
  <c r="D32" i="7"/>
  <c r="D24" i="7" a="1"/>
  <c r="D24" i="7" s="1"/>
  <c r="D25" i="7" a="1"/>
  <c r="D25" i="7" s="1"/>
  <c r="D26" i="7" a="1"/>
  <c r="D26" i="7" s="1"/>
  <c r="E23" i="7" a="1"/>
  <c r="E23" i="7" s="1"/>
  <c r="F23" i="7" a="1"/>
  <c r="F23" i="7" s="1"/>
  <c r="G23" i="7" a="1"/>
  <c r="G23" i="7" s="1"/>
  <c r="I23" i="7" a="1"/>
  <c r="I23" i="7" s="1"/>
  <c r="K23" i="7" a="1"/>
  <c r="K23" i="7" s="1"/>
  <c r="L23" i="7" a="1"/>
  <c r="L23" i="7" s="1"/>
  <c r="M23" i="7" a="1"/>
  <c r="M23" i="7" s="1"/>
  <c r="E24" i="7" a="1"/>
  <c r="E24" i="7" s="1"/>
  <c r="F24" i="7" a="1"/>
  <c r="F24" i="7" s="1"/>
  <c r="G24" i="7" a="1"/>
  <c r="G24" i="7" s="1"/>
  <c r="I24" i="7" a="1"/>
  <c r="I24" i="7" s="1"/>
  <c r="K24" i="7" a="1"/>
  <c r="K24" i="7" s="1"/>
  <c r="L24" i="7" a="1"/>
  <c r="L24" i="7" s="1"/>
  <c r="M24" i="7" a="1"/>
  <c r="M24" i="7" s="1"/>
  <c r="E25" i="7" a="1"/>
  <c r="E25" i="7" s="1"/>
  <c r="F25" i="7" a="1"/>
  <c r="F25" i="7" s="1"/>
  <c r="G25" i="7" a="1"/>
  <c r="G25" i="7" s="1"/>
  <c r="I25" i="7" a="1"/>
  <c r="I25" i="7" s="1"/>
  <c r="K25" i="7" a="1"/>
  <c r="K25" i="7" s="1"/>
  <c r="L25" i="7" a="1"/>
  <c r="L25" i="7" s="1"/>
  <c r="M25" i="7" a="1"/>
  <c r="M25" i="7" s="1"/>
  <c r="E26" i="7" a="1"/>
  <c r="E26" i="7" s="1"/>
  <c r="F26" i="7" a="1"/>
  <c r="F26" i="7" s="1"/>
  <c r="G26" i="7" a="1"/>
  <c r="G26" i="7" s="1"/>
  <c r="I26" i="7" a="1"/>
  <c r="I26" i="7" s="1"/>
  <c r="K26" i="7" a="1"/>
  <c r="K26" i="7" s="1"/>
  <c r="L26" i="7" a="1"/>
  <c r="L26" i="7" s="1"/>
  <c r="M26" i="7" a="1"/>
  <c r="M26" i="7" s="1"/>
  <c r="P25" i="7" a="1"/>
  <c r="P25" i="7" s="1"/>
  <c r="L34" i="7" s="1"/>
  <c r="P34" i="7" s="1"/>
  <c r="P23" i="7" a="1"/>
  <c r="P23" i="7" s="1"/>
  <c r="L32" i="7" s="1"/>
  <c r="P32" i="7" s="1"/>
  <c r="Q12" i="7"/>
  <c r="Q13" i="7"/>
  <c r="Q16" i="7"/>
  <c r="Q18" i="7"/>
  <c r="Q20" i="7"/>
  <c r="Q22" i="7"/>
  <c r="Q25" i="7" s="1" a="1"/>
  <c r="Q25" i="7" s="1"/>
  <c r="M34" i="7" s="1"/>
  <c r="Q34" i="7" s="1"/>
  <c r="Q11" i="7"/>
  <c r="Q23" i="7" s="1" a="1"/>
  <c r="Q23" i="7" s="1"/>
  <c r="M32" i="7" s="1"/>
  <c r="Q32" i="7" s="1"/>
  <c r="P12" i="7"/>
  <c r="P13" i="7"/>
  <c r="P16" i="7"/>
  <c r="P18" i="7"/>
  <c r="P20" i="7"/>
  <c r="P22" i="7"/>
  <c r="O12" i="7"/>
  <c r="O23" i="7" s="1" a="1"/>
  <c r="O23" i="7" s="1"/>
  <c r="K32" i="7" s="1"/>
  <c r="O13" i="7"/>
  <c r="O16" i="7"/>
  <c r="O18" i="7"/>
  <c r="O20" i="7"/>
  <c r="O22" i="7"/>
  <c r="N12" i="7"/>
  <c r="N13" i="7"/>
  <c r="N16" i="7"/>
  <c r="N24" i="7" s="1" a="1"/>
  <c r="N24" i="7" s="1"/>
  <c r="J33" i="7" s="1"/>
  <c r="N18" i="7"/>
  <c r="N20" i="7"/>
  <c r="N22" i="7"/>
  <c r="P11" i="7"/>
  <c r="P26" i="7" s="1" a="1"/>
  <c r="P26" i="7" s="1"/>
  <c r="L35" i="7" s="1"/>
  <c r="O11" i="7"/>
  <c r="O26" i="7" s="1" a="1"/>
  <c r="O26" i="7" s="1"/>
  <c r="K35" i="7" s="1"/>
  <c r="N11" i="7"/>
  <c r="N23" i="7" s="1" a="1"/>
  <c r="N23" i="7" s="1"/>
  <c r="J32" i="7" s="1"/>
  <c r="J11" i="7"/>
  <c r="J23" i="7" s="1" a="1"/>
  <c r="J23" i="7" s="1"/>
  <c r="J12" i="7"/>
  <c r="J26" i="7" s="1" a="1"/>
  <c r="J26" i="7" s="1"/>
  <c r="J13" i="7"/>
  <c r="J16" i="7"/>
  <c r="J17" i="7"/>
  <c r="J18" i="7"/>
  <c r="J20" i="7"/>
  <c r="J22" i="7"/>
  <c r="H11" i="7"/>
  <c r="H23" i="7" s="1" a="1"/>
  <c r="H23" i="7" s="1"/>
  <c r="H12" i="7"/>
  <c r="H13" i="7"/>
  <c r="H16" i="7"/>
  <c r="H17" i="7"/>
  <c r="H18" i="7"/>
  <c r="H20" i="7"/>
  <c r="H22" i="7"/>
  <c r="J10" i="7"/>
  <c r="H10" i="7"/>
  <c r="C7" i="8" a="1"/>
  <c r="G10" i="8" l="1"/>
  <c r="I11" i="9" s="1"/>
  <c r="D22" i="9" s="1"/>
  <c r="G9" i="8"/>
  <c r="I10" i="9" s="1"/>
  <c r="G8" i="8"/>
  <c r="I9" i="9" s="1"/>
  <c r="G11" i="8"/>
  <c r="I12" i="9" s="1"/>
  <c r="F22" i="9" s="1"/>
  <c r="C7" i="8"/>
  <c r="P35" i="7"/>
  <c r="O25" i="7" a="1"/>
  <c r="O25" i="7" s="1"/>
  <c r="K34" i="7" s="1"/>
  <c r="J25" i="7" a="1"/>
  <c r="J25" i="7" s="1"/>
  <c r="N25" i="7" a="1"/>
  <c r="N25" i="7" s="1"/>
  <c r="J34" i="7" s="1"/>
  <c r="Q24" i="7" a="1"/>
  <c r="Q24" i="7" s="1"/>
  <c r="M33" i="7" s="1"/>
  <c r="Q33" i="7" s="1"/>
  <c r="H26" i="7" a="1"/>
  <c r="H26" i="7" s="1"/>
  <c r="J24" i="7" a="1"/>
  <c r="J24" i="7" s="1"/>
  <c r="N26" i="7" a="1"/>
  <c r="N26" i="7" s="1"/>
  <c r="J35" i="7" s="1"/>
  <c r="P24" i="7" a="1"/>
  <c r="P24" i="7" s="1"/>
  <c r="L33" i="7" s="1"/>
  <c r="P33" i="7" s="1"/>
  <c r="H25" i="7" a="1"/>
  <c r="H25" i="7" s="1"/>
  <c r="Q26" i="7" a="1"/>
  <c r="Q26" i="7" s="1"/>
  <c r="M35" i="7" s="1"/>
  <c r="Q35" i="7" s="1"/>
  <c r="O24" i="7" a="1"/>
  <c r="O24" i="7" s="1"/>
  <c r="K33" i="7" s="1"/>
  <c r="H24" i="7" a="1"/>
  <c r="H24" i="7" s="1"/>
  <c r="E22" i="9" l="1"/>
  <c r="R103" i="2"/>
  <c r="G32" i="7" s="1"/>
  <c r="R101" i="2"/>
  <c r="I32" i="7" s="1"/>
  <c r="I33" i="7" s="1"/>
  <c r="I34" i="7" s="1"/>
  <c r="I35" i="7" s="1"/>
  <c r="R100" i="2"/>
  <c r="H32" i="7" s="1"/>
  <c r="N92" i="2"/>
  <c r="O92" i="2" s="1"/>
  <c r="P92" i="2" s="1"/>
  <c r="Q92" i="2" s="1"/>
  <c r="R92" i="2" s="1"/>
  <c r="C19" i="6"/>
  <c r="C17" i="6"/>
  <c r="C16" i="6"/>
  <c r="C15" i="6"/>
  <c r="C12" i="6"/>
  <c r="I127" i="2"/>
  <c r="I129" i="2" s="1"/>
  <c r="J127" i="2"/>
  <c r="J129" i="2" s="1"/>
  <c r="K127" i="2"/>
  <c r="L127" i="2"/>
  <c r="H127" i="2"/>
  <c r="I123" i="2"/>
  <c r="J123" i="2"/>
  <c r="K123" i="2"/>
  <c r="L123" i="2"/>
  <c r="H123" i="2"/>
  <c r="I121" i="2"/>
  <c r="J121" i="2"/>
  <c r="K121" i="2"/>
  <c r="L121" i="2"/>
  <c r="H121" i="2"/>
  <c r="M92" i="2"/>
  <c r="N91" i="2"/>
  <c r="O91" i="2" s="1"/>
  <c r="N90" i="2"/>
  <c r="O90" i="2" s="1"/>
  <c r="P90" i="2" s="1"/>
  <c r="Q90" i="2" s="1"/>
  <c r="R90" i="2" s="1"/>
  <c r="N56" i="2"/>
  <c r="N57" i="2" s="1"/>
  <c r="O56" i="2"/>
  <c r="O57" i="2" s="1"/>
  <c r="P56" i="2"/>
  <c r="P58" i="2" s="1"/>
  <c r="Q56" i="2"/>
  <c r="Q57" i="2" s="1"/>
  <c r="R56" i="2"/>
  <c r="R55" i="2" s="1"/>
  <c r="M56" i="2"/>
  <c r="M55" i="2" s="1"/>
  <c r="I17" i="4"/>
  <c r="J17" i="4"/>
  <c r="K17" i="4"/>
  <c r="L17" i="4"/>
  <c r="M17" i="4"/>
  <c r="H17" i="4"/>
  <c r="I16" i="4"/>
  <c r="J16" i="4"/>
  <c r="K16" i="4"/>
  <c r="L16" i="4"/>
  <c r="M16" i="4"/>
  <c r="H16" i="4"/>
  <c r="M52" i="2"/>
  <c r="M51" i="2"/>
  <c r="M49" i="2"/>
  <c r="P40" i="2"/>
  <c r="M34" i="2"/>
  <c r="N34" i="2" s="1"/>
  <c r="O34" i="2" s="1"/>
  <c r="P34" i="2" s="1"/>
  <c r="Q34" i="2" s="1"/>
  <c r="R34" i="2" s="1"/>
  <c r="M33" i="2"/>
  <c r="N33" i="2" s="1"/>
  <c r="O33" i="2" s="1"/>
  <c r="P33" i="2" s="1"/>
  <c r="Q33" i="2" s="1"/>
  <c r="R33" i="2" s="1"/>
  <c r="N32" i="2"/>
  <c r="O32" i="2" s="1"/>
  <c r="P32" i="2" s="1"/>
  <c r="Q32" i="2" s="1"/>
  <c r="R32" i="2" s="1"/>
  <c r="M31" i="2"/>
  <c r="I29" i="2"/>
  <c r="J29" i="2" s="1"/>
  <c r="K29" i="2" s="1"/>
  <c r="L29" i="2" s="1"/>
  <c r="M29" i="2" s="1"/>
  <c r="N29" i="2" s="1"/>
  <c r="O29" i="2" s="1"/>
  <c r="P29" i="2" s="1"/>
  <c r="Q29" i="2" s="1"/>
  <c r="R29" i="2" s="1"/>
  <c r="R49" i="2"/>
  <c r="Q49" i="2"/>
  <c r="P49" i="2"/>
  <c r="O49" i="2"/>
  <c r="N49" i="2"/>
  <c r="N52" i="2"/>
  <c r="N51" i="2"/>
  <c r="O51" i="2" s="1"/>
  <c r="P51" i="2" s="1"/>
  <c r="Q51" i="2" s="1"/>
  <c r="R51" i="2" s="1"/>
  <c r="I14" i="4"/>
  <c r="J14" i="4"/>
  <c r="K14" i="4"/>
  <c r="L14" i="4"/>
  <c r="M14" i="4"/>
  <c r="H14" i="4"/>
  <c r="N40" i="2"/>
  <c r="O43" i="2"/>
  <c r="P43" i="2" s="1"/>
  <c r="Q43" i="2" s="1"/>
  <c r="R43" i="2" s="1"/>
  <c r="H125" i="2" l="1"/>
  <c r="P55" i="2"/>
  <c r="J125" i="2"/>
  <c r="J131" i="2" s="1"/>
  <c r="K125" i="2"/>
  <c r="H33" i="7"/>
  <c r="O32" i="7"/>
  <c r="S32" i="7" s="1"/>
  <c r="F9" i="9" s="1"/>
  <c r="N32" i="7"/>
  <c r="R32" i="7" s="1"/>
  <c r="E9" i="9" s="1"/>
  <c r="L125" i="2"/>
  <c r="G33" i="7"/>
  <c r="T32" i="7"/>
  <c r="G9" i="9" s="1"/>
  <c r="U32" i="7"/>
  <c r="H9" i="9" s="1"/>
  <c r="Q55" i="2"/>
  <c r="I125" i="2"/>
  <c r="I131" i="2" s="1"/>
  <c r="P57" i="2"/>
  <c r="M58" i="2"/>
  <c r="P91" i="2"/>
  <c r="H129" i="2"/>
  <c r="H131" i="2" s="1"/>
  <c r="O52" i="2"/>
  <c r="P52" i="2" s="1"/>
  <c r="Q52" i="2" s="1"/>
  <c r="L129" i="2"/>
  <c r="K129" i="2"/>
  <c r="K131" i="2" s="1"/>
  <c r="M57" i="2"/>
  <c r="Q58" i="2"/>
  <c r="O55" i="2"/>
  <c r="R57" i="2"/>
  <c r="N55" i="2"/>
  <c r="R58" i="2"/>
  <c r="O58" i="2"/>
  <c r="N58" i="2"/>
  <c r="I132" i="2" l="1"/>
  <c r="K132" i="2"/>
  <c r="L131" i="2"/>
  <c r="L132" i="2" s="1"/>
  <c r="J132" i="2"/>
  <c r="G34" i="7"/>
  <c r="U33" i="7"/>
  <c r="H10" i="9" s="1"/>
  <c r="T33" i="7"/>
  <c r="G10" i="9" s="1"/>
  <c r="H34" i="7"/>
  <c r="N33" i="7"/>
  <c r="R33" i="7" s="1"/>
  <c r="E10" i="9" s="1"/>
  <c r="O33" i="7"/>
  <c r="S33" i="7" s="1"/>
  <c r="F10" i="9" s="1"/>
  <c r="Q91" i="2"/>
  <c r="H35" i="7" l="1"/>
  <c r="N34" i="7"/>
  <c r="R34" i="7" s="1"/>
  <c r="E11" i="9" s="1"/>
  <c r="O34" i="7"/>
  <c r="S34" i="7" s="1"/>
  <c r="F11" i="9" s="1"/>
  <c r="G35" i="7"/>
  <c r="T34" i="7"/>
  <c r="G11" i="9" s="1"/>
  <c r="U34" i="7"/>
  <c r="H11" i="9" s="1"/>
  <c r="R91" i="2"/>
  <c r="U35" i="7" l="1"/>
  <c r="H12" i="9" s="1"/>
  <c r="T35" i="7"/>
  <c r="G12" i="9" s="1"/>
  <c r="O35" i="7"/>
  <c r="S35" i="7" s="1"/>
  <c r="F12" i="9" s="1"/>
  <c r="N35" i="7"/>
  <c r="R35" i="7" s="1"/>
  <c r="E12" i="9" s="1"/>
  <c r="H45" i="2"/>
  <c r="I45" i="2"/>
  <c r="J45" i="2"/>
  <c r="K45" i="2"/>
  <c r="L45" i="2"/>
  <c r="I80" i="2"/>
  <c r="J80" i="2" s="1"/>
  <c r="K80" i="2" s="1"/>
  <c r="L80" i="2" s="1"/>
  <c r="M80" i="2" s="1"/>
  <c r="N80" i="2" s="1"/>
  <c r="O80" i="2" s="1"/>
  <c r="P80" i="2" s="1"/>
  <c r="Q80" i="2" s="1"/>
  <c r="R80" i="2" s="1"/>
  <c r="I69" i="2"/>
  <c r="J69" i="2"/>
  <c r="K69" i="2"/>
  <c r="L69" i="2"/>
  <c r="H69" i="2"/>
  <c r="I63" i="2"/>
  <c r="J63" i="2"/>
  <c r="K63" i="2"/>
  <c r="L63" i="2"/>
  <c r="H63" i="2"/>
  <c r="I54" i="2"/>
  <c r="J54" i="2"/>
  <c r="K54" i="2"/>
  <c r="L54" i="2"/>
  <c r="H54" i="2"/>
  <c r="H36" i="2"/>
  <c r="H128" i="2" s="1"/>
  <c r="I36" i="2"/>
  <c r="I128" i="2" s="1"/>
  <c r="J36" i="2"/>
  <c r="J128" i="2" s="1"/>
  <c r="K36" i="2"/>
  <c r="K128" i="2" s="1"/>
  <c r="L36" i="2"/>
  <c r="L128" i="2" s="1"/>
  <c r="I30" i="2"/>
  <c r="J30" i="2"/>
  <c r="K30" i="2"/>
  <c r="L30" i="2"/>
  <c r="H30" i="2"/>
  <c r="K64" i="2" l="1"/>
  <c r="L64" i="2"/>
  <c r="M64" i="2" s="1"/>
  <c r="N64" i="2" s="1"/>
  <c r="O64" i="2" s="1"/>
  <c r="P64" i="2" s="1"/>
  <c r="Q64" i="2" s="1"/>
  <c r="R64" i="2" s="1"/>
  <c r="M128" i="2"/>
  <c r="N128" i="2" s="1"/>
  <c r="O128" i="2" s="1"/>
  <c r="H124" i="2"/>
  <c r="H122" i="2"/>
  <c r="K122" i="2"/>
  <c r="K124" i="2"/>
  <c r="L124" i="2"/>
  <c r="L122" i="2"/>
  <c r="J46" i="2"/>
  <c r="J122" i="2"/>
  <c r="J124" i="2"/>
  <c r="I122" i="2"/>
  <c r="I124" i="2"/>
  <c r="H64" i="2"/>
  <c r="J64" i="2"/>
  <c r="L46" i="2"/>
  <c r="I64" i="2"/>
  <c r="K46" i="2"/>
  <c r="I46" i="2"/>
  <c r="H46" i="2"/>
  <c r="N31" i="2"/>
  <c r="O31" i="2" s="1"/>
  <c r="J38" i="2"/>
  <c r="J39" i="2" s="1"/>
  <c r="I38" i="2"/>
  <c r="I39" i="2" s="1"/>
  <c r="K38" i="2"/>
  <c r="K39" i="2" s="1"/>
  <c r="H55" i="2"/>
  <c r="L38" i="2"/>
  <c r="L39" i="2" s="1"/>
  <c r="H38" i="2"/>
  <c r="H39" i="2" s="1"/>
  <c r="I55" i="2"/>
  <c r="L55" i="2"/>
  <c r="J55" i="2"/>
  <c r="L31" i="2"/>
  <c r="K55" i="2"/>
  <c r="K31" i="2"/>
  <c r="I31" i="2"/>
  <c r="J31" i="2"/>
  <c r="E10" i="2"/>
  <c r="I40" i="2" l="1"/>
  <c r="P128" i="2"/>
  <c r="Q128" i="2" s="1"/>
  <c r="R128" i="2" s="1"/>
  <c r="M122" i="2"/>
  <c r="N122" i="2" s="1"/>
  <c r="O122" i="2" s="1"/>
  <c r="M124" i="2"/>
  <c r="N124" i="2" s="1"/>
  <c r="L40" i="2"/>
  <c r="K40" i="2"/>
  <c r="J40" i="2"/>
  <c r="P31" i="2"/>
  <c r="K48" i="2"/>
  <c r="K60" i="2" s="1"/>
  <c r="L48" i="2"/>
  <c r="L49" i="2" s="1"/>
  <c r="I48" i="2"/>
  <c r="J48" i="2"/>
  <c r="H48" i="2"/>
  <c r="O124" i="2" l="1"/>
  <c r="P124" i="2" s="1"/>
  <c r="Q124" i="2" s="1"/>
  <c r="R124" i="2" s="1"/>
  <c r="P122" i="2"/>
  <c r="Q122" i="2" s="1"/>
  <c r="R122" i="2" s="1"/>
  <c r="M41" i="2"/>
  <c r="M40" i="2" s="1"/>
  <c r="N42" i="2"/>
  <c r="O42" i="2" s="1"/>
  <c r="P42" i="2" s="1"/>
  <c r="Q42" i="2" s="1"/>
  <c r="R42" i="2" s="1"/>
  <c r="M42" i="2"/>
  <c r="O41" i="2"/>
  <c r="Q31" i="2"/>
  <c r="K49" i="2"/>
  <c r="L60" i="2"/>
  <c r="L66" i="2" s="1"/>
  <c r="I49" i="2"/>
  <c r="I60" i="2"/>
  <c r="H49" i="2"/>
  <c r="H60" i="2"/>
  <c r="K66" i="2"/>
  <c r="K61" i="2"/>
  <c r="J49" i="2"/>
  <c r="J60" i="2"/>
  <c r="Q41" i="2" l="1"/>
  <c r="R41" i="2" s="1"/>
  <c r="R40" i="2" s="1"/>
  <c r="O40" i="2"/>
  <c r="R31" i="2"/>
  <c r="L61" i="2"/>
  <c r="K67" i="2"/>
  <c r="K72" i="2"/>
  <c r="K73" i="2" s="1"/>
  <c r="K70" i="2"/>
  <c r="L67" i="2"/>
  <c r="L72" i="2"/>
  <c r="L73" i="2" s="1"/>
  <c r="L70" i="2"/>
  <c r="H66" i="2"/>
  <c r="H61" i="2"/>
  <c r="I61" i="2"/>
  <c r="I66" i="2"/>
  <c r="J61" i="2"/>
  <c r="J66" i="2"/>
  <c r="Q40" i="2" l="1"/>
  <c r="I67" i="2"/>
  <c r="I72" i="2"/>
  <c r="I73" i="2" s="1"/>
  <c r="I70" i="2"/>
  <c r="H67" i="2"/>
  <c r="H72" i="2"/>
  <c r="H73" i="2" s="1"/>
  <c r="H70" i="2"/>
  <c r="J67" i="2"/>
  <c r="J72" i="2"/>
  <c r="J73" i="2" s="1"/>
  <c r="J70" i="2"/>
  <c r="M70" i="2" l="1"/>
  <c r="M83" i="2" s="1"/>
  <c r="N70" i="2" l="1"/>
  <c r="N83" i="2" s="1"/>
  <c r="C18" i="6"/>
  <c r="C21" i="6" s="1"/>
  <c r="M30" i="2"/>
  <c r="O70" i="2" l="1"/>
  <c r="O83" i="2" s="1"/>
  <c r="M121" i="2"/>
  <c r="M123" i="2"/>
  <c r="M54" i="2"/>
  <c r="M85" i="2" s="1"/>
  <c r="M63" i="2"/>
  <c r="N30" i="2"/>
  <c r="N123" i="2" s="1"/>
  <c r="P70" i="2" l="1"/>
  <c r="P83" i="2" s="1"/>
  <c r="M125" i="2"/>
  <c r="N63" i="2"/>
  <c r="N121" i="2"/>
  <c r="N125" i="2" s="1"/>
  <c r="N48" i="2"/>
  <c r="N54" i="2"/>
  <c r="N85" i="2" s="1"/>
  <c r="O30" i="2"/>
  <c r="O123" i="2" s="1"/>
  <c r="Q70" i="2" l="1"/>
  <c r="Q83" i="2" s="1"/>
  <c r="O63" i="2"/>
  <c r="O121" i="2"/>
  <c r="O125" i="2" s="1"/>
  <c r="N60" i="2"/>
  <c r="N82" i="2" s="1"/>
  <c r="N84" i="2" s="1"/>
  <c r="P30" i="2"/>
  <c r="P123" i="2" s="1"/>
  <c r="O54" i="2"/>
  <c r="O85" i="2" s="1"/>
  <c r="O48" i="2"/>
  <c r="R70" i="2" l="1"/>
  <c r="R83" i="2" s="1"/>
  <c r="Q30" i="2"/>
  <c r="P121" i="2"/>
  <c r="P125" i="2" s="1"/>
  <c r="N61" i="2"/>
  <c r="N66" i="2"/>
  <c r="P54" i="2"/>
  <c r="P85" i="2" s="1"/>
  <c r="P63" i="2"/>
  <c r="O60" i="2"/>
  <c r="O82" i="2" s="1"/>
  <c r="O84" i="2" s="1"/>
  <c r="P48" i="2"/>
  <c r="Q121" i="2" l="1"/>
  <c r="Q123" i="2"/>
  <c r="Q54" i="2"/>
  <c r="Q85" i="2" s="1"/>
  <c r="R30" i="2"/>
  <c r="R54" i="2" s="1"/>
  <c r="R85" i="2" s="1"/>
  <c r="Q63" i="2"/>
  <c r="Q48" i="2"/>
  <c r="P60" i="2"/>
  <c r="P82" i="2" s="1"/>
  <c r="P84" i="2" s="1"/>
  <c r="N67" i="2"/>
  <c r="N69" i="2"/>
  <c r="O61" i="2"/>
  <c r="O66" i="2"/>
  <c r="M39" i="2"/>
  <c r="M38" i="2" s="1"/>
  <c r="M36" i="2" s="1"/>
  <c r="M127" i="2" s="1"/>
  <c r="Q60" i="2" l="1"/>
  <c r="Q82" i="2" s="1"/>
  <c r="Q84" i="2" s="1"/>
  <c r="N72" i="2"/>
  <c r="N73" i="2" s="1"/>
  <c r="M129" i="2"/>
  <c r="M131" i="2" s="1"/>
  <c r="R48" i="2"/>
  <c r="R60" i="2" s="1"/>
  <c r="R82" i="2" s="1"/>
  <c r="R84" i="2" s="1"/>
  <c r="R63" i="2"/>
  <c r="Q125" i="2"/>
  <c r="R121" i="2"/>
  <c r="R123" i="2"/>
  <c r="P66" i="2"/>
  <c r="P69" i="2" s="1"/>
  <c r="P61" i="2"/>
  <c r="O67" i="2"/>
  <c r="O69" i="2"/>
  <c r="N39" i="2"/>
  <c r="N38" i="2" s="1"/>
  <c r="N45" i="2" s="1"/>
  <c r="Q66" i="2" l="1"/>
  <c r="Q67" i="2" s="1"/>
  <c r="Q61" i="2"/>
  <c r="O72" i="2"/>
  <c r="O73" i="2" s="1"/>
  <c r="M132" i="2"/>
  <c r="M87" i="2" s="1"/>
  <c r="P72" i="2"/>
  <c r="P73" i="2" s="1"/>
  <c r="R125" i="2"/>
  <c r="P67" i="2"/>
  <c r="N46" i="2"/>
  <c r="R61" i="2"/>
  <c r="R66" i="2"/>
  <c r="N36" i="2"/>
  <c r="N127" i="2" s="1"/>
  <c r="N129" i="2" s="1"/>
  <c r="N131" i="2" s="1"/>
  <c r="O39" i="2"/>
  <c r="P39" i="2" s="1"/>
  <c r="Q69" i="2" l="1"/>
  <c r="Q72" i="2" s="1"/>
  <c r="Q73" i="2" s="1"/>
  <c r="N132" i="2"/>
  <c r="N87" i="2" s="1"/>
  <c r="R67" i="2"/>
  <c r="R69" i="2"/>
  <c r="O38" i="2"/>
  <c r="O36" i="2" s="1"/>
  <c r="O127" i="2" s="1"/>
  <c r="O129" i="2" s="1"/>
  <c r="O131" i="2" s="1"/>
  <c r="P38" i="2"/>
  <c r="Q39" i="2"/>
  <c r="N88" i="2" l="1"/>
  <c r="N94" i="2" s="1"/>
  <c r="R72" i="2"/>
  <c r="R73" i="2" s="1"/>
  <c r="O132" i="2"/>
  <c r="O87" i="2" s="1"/>
  <c r="O88" i="2" s="1"/>
  <c r="O45" i="2"/>
  <c r="P45" i="2"/>
  <c r="P36" i="2"/>
  <c r="P127" i="2" s="1"/>
  <c r="P129" i="2" s="1"/>
  <c r="P131" i="2" s="1"/>
  <c r="R39" i="2"/>
  <c r="R38" i="2" s="1"/>
  <c r="Q38" i="2"/>
  <c r="P132" i="2" l="1"/>
  <c r="P87" i="2" s="1"/>
  <c r="O46" i="2"/>
  <c r="O94" i="2"/>
  <c r="P46" i="2"/>
  <c r="Q36" i="2"/>
  <c r="Q127" i="2" s="1"/>
  <c r="Q129" i="2" s="1"/>
  <c r="Q131" i="2" s="1"/>
  <c r="Q45" i="2"/>
  <c r="R36" i="2"/>
  <c r="R127" i="2" s="1"/>
  <c r="R129" i="2" s="1"/>
  <c r="R131" i="2" s="1"/>
  <c r="R45" i="2"/>
  <c r="M48" i="2"/>
  <c r="P88" i="2" l="1"/>
  <c r="P94" i="2" s="1"/>
  <c r="Q132" i="2"/>
  <c r="Q87" i="2" s="1"/>
  <c r="R132" i="2"/>
  <c r="R87" i="2" s="1"/>
  <c r="R88" i="2" s="1"/>
  <c r="R96" i="2" s="1"/>
  <c r="R97" i="2" s="1"/>
  <c r="R46" i="2"/>
  <c r="Q46" i="2"/>
  <c r="M45" i="2"/>
  <c r="M60" i="2"/>
  <c r="M82" i="2" s="1"/>
  <c r="M84" i="2" s="1"/>
  <c r="M88" i="2" s="1"/>
  <c r="Q88" i="2" l="1"/>
  <c r="Q94" i="2" s="1"/>
  <c r="R94" i="2"/>
  <c r="M46" i="2"/>
  <c r="M61" i="2"/>
  <c r="M66" i="2"/>
  <c r="M67" i="2" l="1"/>
  <c r="M69" i="2"/>
  <c r="M72" i="2" l="1"/>
  <c r="M73" i="2" s="1"/>
  <c r="M94" i="2" l="1"/>
  <c r="R99" i="2" s="1"/>
  <c r="R102" i="2" s="1"/>
  <c r="R104" i="2" l="1"/>
  <c r="E109" i="2" s="1"/>
  <c r="I8" i="2" l="1"/>
  <c r="I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9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</futureMetadata>
  <cellMetadata count="1">
    <bk>
      <rc t="1" v="0"/>
    </bk>
  </cellMetadata>
  <valueMetadata count="49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</valueMetadata>
</metadata>
</file>

<file path=xl/sharedStrings.xml><?xml version="1.0" encoding="utf-8"?>
<sst xmlns="http://schemas.openxmlformats.org/spreadsheetml/2006/main" count="431" uniqueCount="291">
  <si>
    <t>DCF</t>
  </si>
  <si>
    <t>Comps</t>
  </si>
  <si>
    <t>Football Chart</t>
  </si>
  <si>
    <t>DCF Model</t>
  </si>
  <si>
    <t>Overview</t>
  </si>
  <si>
    <t>Assumptions</t>
  </si>
  <si>
    <t>Income Statement</t>
  </si>
  <si>
    <t>$M</t>
  </si>
  <si>
    <t>Actuals</t>
  </si>
  <si>
    <t>Projections</t>
  </si>
  <si>
    <t>•</t>
  </si>
  <si>
    <t>Ticker</t>
  </si>
  <si>
    <t>Comp Name</t>
  </si>
  <si>
    <t>Date</t>
  </si>
  <si>
    <t>Price per Share</t>
  </si>
  <si>
    <t>Valuation</t>
  </si>
  <si>
    <t>%Delta vs Current</t>
  </si>
  <si>
    <t>McDonald's Corporation</t>
  </si>
  <si>
    <t>MCD</t>
  </si>
  <si>
    <t>Triggers</t>
  </si>
  <si>
    <t>Year</t>
  </si>
  <si>
    <t>Amount</t>
  </si>
  <si>
    <t>Base/ Street</t>
  </si>
  <si>
    <t xml:space="preserve">Amount </t>
  </si>
  <si>
    <t>Optimistic</t>
  </si>
  <si>
    <t>McDonald's Corporation (MCD)</t>
  </si>
  <si>
    <t>$310.45</t>
  </si>
  <si>
    <t xml:space="preserve">MCD   580135101   2550707   NYSE    Common stock    </t>
  </si>
  <si>
    <t>Source: FactSet Fundamentals</t>
  </si>
  <si>
    <t>DEC '15</t>
  </si>
  <si>
    <t>DEC '16</t>
  </si>
  <si>
    <t>DEC '17</t>
  </si>
  <si>
    <t>DEC '18</t>
  </si>
  <si>
    <t>DEC '19</t>
  </si>
  <si>
    <t>DEC '20</t>
  </si>
  <si>
    <t>DEC '21</t>
  </si>
  <si>
    <t>DEC '22</t>
  </si>
  <si>
    <t>DEC '23</t>
  </si>
  <si>
    <t>DEC '24</t>
  </si>
  <si>
    <t>SEP '25</t>
  </si>
  <si>
    <t>LTM</t>
  </si>
  <si>
    <t>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</si>
  <si>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</si>
  <si>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</si>
  <si>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</si>
  <si>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</si>
  <si>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</si>
  <si>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</si>
  <si>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</si>
  <si>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</si>
  <si>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</si>
  <si>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</si>
  <si>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</si>
  <si>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</si>
  <si>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</si>
  <si>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Other Income (Expense)</t>
  </si>
  <si>
    <t>Interest Expense</t>
  </si>
  <si>
    <t>Gross Interest Expense</t>
  </si>
  <si>
    <t>Interest Capitalized</t>
  </si>
  <si>
    <t>Unusual Expense - Net</t>
  </si>
  <si>
    <t>Restructuring Expense</t>
  </si>
  <si>
    <t>Unrealized Valuation Gain/Loss</t>
  </si>
  <si>
    <t>Hedges/Derivatives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</si>
  <si>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</si>
  <si>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</si>
  <si>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</si>
  <si>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</si>
  <si>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</si>
  <si>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</si>
  <si>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</si>
  <si>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Net Income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</si>
  <si>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</si>
  <si>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</si>
  <si>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</si>
  <si>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</si>
  <si>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</si>
  <si>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</si>
  <si>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</si>
  <si>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</si>
  <si>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</si>
  <si>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</si>
  <si>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</si>
  <si>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</si>
  <si>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</si>
  <si>
    <t>All figures in millions of Euro except per share items.</t>
  </si>
  <si>
    <t>Revenue</t>
  </si>
  <si>
    <t>COGS</t>
  </si>
  <si>
    <t>Opex</t>
  </si>
  <si>
    <t>D&amp;A</t>
  </si>
  <si>
    <t>Interests</t>
  </si>
  <si>
    <t>Taxable Income</t>
  </si>
  <si>
    <t xml:space="preserve"> % margin</t>
  </si>
  <si>
    <t>(1-TAX)</t>
  </si>
  <si>
    <t>EBIAT (or NOPAT)</t>
  </si>
  <si>
    <t>Plus D&amp;A</t>
  </si>
  <si>
    <t>Less Capex</t>
  </si>
  <si>
    <t>Less Change in WC</t>
  </si>
  <si>
    <t>Free Cash Flow</t>
  </si>
  <si>
    <t>Discount Period</t>
  </si>
  <si>
    <t>Mid Year Convention DP</t>
  </si>
  <si>
    <t>Discounted FCF</t>
  </si>
  <si>
    <t>Terminal Value</t>
  </si>
  <si>
    <t>Discounted TV</t>
  </si>
  <si>
    <t>Enterprise Value</t>
  </si>
  <si>
    <t>Plus Cash</t>
  </si>
  <si>
    <t>Less Debt</t>
  </si>
  <si>
    <t>Equity Value</t>
  </si>
  <si>
    <t>Number of Shares</t>
  </si>
  <si>
    <t>Price Per Share</t>
  </si>
  <si>
    <t>Taxes</t>
  </si>
  <si>
    <t xml:space="preserve"> % tax rate</t>
  </si>
  <si>
    <t>Fraction of the year recorded</t>
  </si>
  <si>
    <t>Calculate with a proportion the total of the year</t>
  </si>
  <si>
    <t>Scenario</t>
  </si>
  <si>
    <t>Revenue growth</t>
  </si>
  <si>
    <t>25-'30</t>
  </si>
  <si>
    <t>Revenue Growth</t>
  </si>
  <si>
    <t>% growth</t>
  </si>
  <si>
    <t>Conservative</t>
  </si>
  <si>
    <t>EBIDTA Margin</t>
  </si>
  <si>
    <t>EBITDA Margin</t>
  </si>
  <si>
    <t>WACC</t>
  </si>
  <si>
    <t>TGR</t>
  </si>
  <si>
    <t>3. Optimistic</t>
  </si>
  <si>
    <t>1. Base</t>
  </si>
  <si>
    <t>2. Conservative</t>
  </si>
  <si>
    <t>Gross profit</t>
  </si>
  <si>
    <t>% margin</t>
  </si>
  <si>
    <t>% sales</t>
  </si>
  <si>
    <t>MCD-US</t>
  </si>
  <si>
    <t>Income Statement (M)</t>
  </si>
  <si>
    <t>Dec '20</t>
  </si>
  <si>
    <t>Dec '21</t>
  </si>
  <si>
    <t>Dec '22</t>
  </si>
  <si>
    <t>Dec '23</t>
  </si>
  <si>
    <t>Dec '24</t>
  </si>
  <si>
    <t>Dec '25E</t>
  </si>
  <si>
    <t>Dec '26E</t>
  </si>
  <si>
    <t>Dec '27E</t>
  </si>
  <si>
    <t>Dec '28E</t>
  </si>
  <si>
    <t>Dec '29E</t>
  </si>
  <si>
    <t>Dec '30E</t>
  </si>
  <si>
    <t>Cost of Sales</t>
  </si>
  <si>
    <t>-</t>
  </si>
  <si>
    <t>Compensation and Benefits</t>
  </si>
  <si>
    <t>Operating Income</t>
  </si>
  <si>
    <t>Tax Expense</t>
  </si>
  <si>
    <t>% margin EBITDA</t>
  </si>
  <si>
    <t>Fraction of year left</t>
  </si>
  <si>
    <t>`</t>
  </si>
  <si>
    <t>Working Capital</t>
  </si>
  <si>
    <t>AR</t>
  </si>
  <si>
    <t>inventories</t>
  </si>
  <si>
    <t>Tot current assets</t>
  </si>
  <si>
    <t>AP</t>
  </si>
  <si>
    <t>% COGS</t>
  </si>
  <si>
    <t>Tot current liab</t>
  </si>
  <si>
    <t>WC</t>
  </si>
  <si>
    <t>Change in WC</t>
  </si>
  <si>
    <t>Assets</t>
  </si>
  <si>
    <t>Cash &amp; Short-Term Investments</t>
  </si>
  <si>
    <t>Cash Only</t>
  </si>
  <si>
    <t>Short-Term Receivables</t>
  </si>
  <si>
    <t>Accounts Receivables, Net</t>
  </si>
  <si>
    <t>Accounts Receivables, Gross</t>
  </si>
  <si>
    <t>Inventories</t>
  </si>
  <si>
    <t>Finished Goods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</si>
  <si>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</si>
  <si>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</si>
  <si>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</si>
  <si>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</si>
  <si>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</si>
  <si>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</si>
  <si>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</si>
  <si>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</si>
  <si>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</si>
  <si>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</si>
  <si>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</si>
  <si>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</si>
  <si>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</si>
  <si>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</si>
  <si>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Intangible Assets</t>
  </si>
  <si>
    <t>Goodwill</t>
  </si>
  <si>
    <t>Other Intangible Assets</t>
  </si>
  <si>
    <t>Deferred Tax Assets</t>
  </si>
  <si>
    <t>Other Assets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</si>
  <si>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</si>
  <si>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</si>
  <si>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</si>
  <si>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</si>
  <si>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</si>
  <si>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</si>
  <si>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</si>
  <si>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</si>
  <si>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</si>
  <si>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</si>
  <si>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</si>
  <si>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</si>
  <si>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</si>
  <si>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</si>
  <si>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</si>
  <si>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</si>
  <si>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</si>
  <si>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</si>
  <si>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</si>
  <si>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</si>
  <si>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</si>
  <si>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</si>
  <si>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</si>
  <si>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</si>
  <si>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</si>
  <si>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</si>
  <si>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</si>
  <si>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Treasury Stock</t>
  </si>
  <si>
    <t>Total Shareholders' Equity</t>
  </si>
  <si>
    <t>Total Equity</t>
  </si>
  <si>
    <t>Total Liabilities &amp; Shareholders' Equity</t>
  </si>
  <si>
    <t>Book Value per Share</t>
  </si>
  <si>
    <t>Tangible Book Value per Share</t>
  </si>
  <si>
    <t xml:space="preserve"> </t>
  </si>
  <si>
    <t>WACC =  kE*(E/E+D) + kd * D/D+E * (1-tax)</t>
  </si>
  <si>
    <t>Ke = Rf + Beta * (Rm - Rf)</t>
  </si>
  <si>
    <t>Rm - Rf = MRP</t>
  </si>
  <si>
    <t>Rf</t>
  </si>
  <si>
    <t>10-yr treas yield - google</t>
  </si>
  <si>
    <t>Beta</t>
  </si>
  <si>
    <t>Factset</t>
  </si>
  <si>
    <t>MRP</t>
  </si>
  <si>
    <t>Damodoran</t>
  </si>
  <si>
    <t>Ke</t>
  </si>
  <si>
    <t>E</t>
  </si>
  <si>
    <t>D</t>
  </si>
  <si>
    <t>BS</t>
  </si>
  <si>
    <t>E%</t>
  </si>
  <si>
    <t>D%</t>
  </si>
  <si>
    <t>1-Tax</t>
  </si>
  <si>
    <t>Kd</t>
  </si>
  <si>
    <t>Exch. EUR-USD</t>
  </si>
  <si>
    <t>all Values in B USD</t>
  </si>
  <si>
    <t>Name</t>
  </si>
  <si>
    <t>Employees</t>
  </si>
  <si>
    <t>Price/Share</t>
  </si>
  <si>
    <t>Market Cap</t>
  </si>
  <si>
    <t>EV</t>
  </si>
  <si>
    <t>EV/ Revenue</t>
  </si>
  <si>
    <t>EV/EBITDA</t>
  </si>
  <si>
    <t>P/Sales</t>
  </si>
  <si>
    <t>P/E</t>
  </si>
  <si>
    <t>Mcdonald's</t>
  </si>
  <si>
    <t>Tyson Foods</t>
  </si>
  <si>
    <t>Starbucks</t>
  </si>
  <si>
    <t>Chipotle</t>
  </si>
  <si>
    <t>Burger King</t>
  </si>
  <si>
    <t>KFC</t>
  </si>
  <si>
    <t>Domino's</t>
  </si>
  <si>
    <t>Jack In The Box</t>
  </si>
  <si>
    <t>Papa John's</t>
  </si>
  <si>
    <t>Subway</t>
  </si>
  <si>
    <t>Wendy's</t>
  </si>
  <si>
    <t>Chick-fil-A</t>
  </si>
  <si>
    <t>Shake Shack</t>
  </si>
  <si>
    <t>McDonald's</t>
  </si>
  <si>
    <t>Mean</t>
  </si>
  <si>
    <t>Median</t>
  </si>
  <si>
    <t>25th percentile</t>
  </si>
  <si>
    <t>75th percentile</t>
  </si>
  <si>
    <t>McDonald's Valuation</t>
  </si>
  <si>
    <t>EBITDA %</t>
  </si>
  <si>
    <t>NI %</t>
  </si>
  <si>
    <t>Rev Growth</t>
  </si>
  <si>
    <t># Shares</t>
  </si>
  <si>
    <t>Cash</t>
  </si>
  <si>
    <t>Debt</t>
  </si>
  <si>
    <t>EV / Revenue</t>
  </si>
  <si>
    <t>EV / EBITDA</t>
  </si>
  <si>
    <t>P / Sales</t>
  </si>
  <si>
    <t>P / E</t>
  </si>
  <si>
    <t>Selected?</t>
  </si>
  <si>
    <t>X</t>
  </si>
  <si>
    <t>Price per share</t>
  </si>
  <si>
    <t>Share price</t>
  </si>
  <si>
    <t>Summary</t>
  </si>
  <si>
    <t>Metrics</t>
  </si>
  <si>
    <t>52-wk Range</t>
  </si>
  <si>
    <t>Sensitivity Analysis</t>
  </si>
  <si>
    <t>Dynamic</t>
  </si>
  <si>
    <t>Method</t>
  </si>
  <si>
    <t>EV/Revenue</t>
  </si>
  <si>
    <t>Min</t>
  </si>
  <si>
    <t>Difference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</si>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</sst>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.0%"/>
    <numFmt numFmtId="166" formatCode="#,##0;\(#,##0\);&quot;--&quot;"/>
    <numFmt numFmtId="167" formatCode="#,##0.000"/>
    <numFmt numFmtId="168" formatCode="#,##0.00;\(#,##0.00\);&quot;--&quot;"/>
    <numFmt numFmtId="169" formatCode="_-* #,##0.00\ [$USD]_-;\-* #,##0.00\ [$USD]_-;_-* &quot;-&quot;??\ [$USD]_-;_-@_-"/>
    <numFmt numFmtId="170" formatCode="0.00&quot;x&quot;"/>
    <numFmt numFmtId="171" formatCode="000\ &quot;Miln&quot;"/>
    <numFmt numFmtId="172" formatCode="_([$$-409]* #,##0.00_);_([$$-409]* \(#,##0.00\);_([$$-409]* &quot;-&quot;??_);_(@_)"/>
    <numFmt numFmtId="173" formatCode=";;;"/>
    <numFmt numFmtId="174" formatCode="_-[$$-409]* #,##0.00_ ;_-[$$-409]* \-#,##0.00\ ;_-[$$-409]* &quot;-&quot;??_ ;_-@_ 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i/>
      <sz val="11"/>
      <color theme="1"/>
      <name val="Aptos Narrow"/>
      <family val="2"/>
      <scheme val="minor"/>
    </font>
    <font>
      <i/>
      <sz val="11"/>
      <color rgb="FF002060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i/>
      <u val="singleAccounting"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20"/>
      <color rgb="FFFFFFFF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2"/>
      <color rgb="FF05B05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2"/>
      <color rgb="FFFFFFFF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C8C8C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E274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93">
    <xf numFmtId="0" fontId="0" fillId="0" borderId="0" xfId="0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165" fontId="0" fillId="0" borderId="3" xfId="0" applyNumberForma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0" fontId="8" fillId="0" borderId="5" xfId="0" applyFont="1" applyBorder="1"/>
    <xf numFmtId="0" fontId="7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0" fontId="9" fillId="5" borderId="0" xfId="0" applyFont="1" applyFill="1" applyAlignment="1">
      <alignment horizontal="left" indent="3"/>
    </xf>
    <xf numFmtId="3" fontId="9" fillId="5" borderId="0" xfId="0" applyNumberFormat="1" applyFont="1" applyFill="1" applyAlignment="1">
      <alignment horizontal="right"/>
    </xf>
    <xf numFmtId="0" fontId="8" fillId="0" borderId="0" xfId="0" applyFont="1" applyAlignment="1">
      <alignment horizontal="left" indent="4"/>
    </xf>
    <xf numFmtId="3" fontId="8" fillId="0" borderId="0" xfId="0" applyNumberFormat="1" applyFont="1" applyAlignment="1">
      <alignment horizontal="right"/>
    </xf>
    <xf numFmtId="0" fontId="9" fillId="5" borderId="0" xfId="0" applyFont="1" applyFill="1" applyAlignment="1">
      <alignment horizontal="left" indent="6"/>
    </xf>
    <xf numFmtId="0" fontId="8" fillId="0" borderId="0" xfId="0" applyFont="1" applyAlignment="1">
      <alignment horizontal="left" indent="7"/>
    </xf>
    <xf numFmtId="0" fontId="8" fillId="0" borderId="0" xfId="0" applyFont="1" applyAlignment="1">
      <alignment horizontal="left"/>
    </xf>
    <xf numFmtId="0" fontId="8" fillId="5" borderId="0" xfId="0" applyFont="1" applyFill="1" applyAlignment="1">
      <alignment horizontal="left" indent="7"/>
    </xf>
    <xf numFmtId="3" fontId="8" fillId="5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9" fillId="0" borderId="0" xfId="0" applyFont="1" applyAlignment="1">
      <alignment horizontal="left" indent="3"/>
    </xf>
    <xf numFmtId="0" fontId="8" fillId="5" borderId="0" xfId="0" applyFont="1" applyFill="1" applyAlignment="1">
      <alignment horizontal="left" indent="4"/>
    </xf>
    <xf numFmtId="3" fontId="10" fillId="0" borderId="0" xfId="0" applyNumberFormat="1" applyFont="1" applyAlignment="1">
      <alignment horizontal="right"/>
    </xf>
    <xf numFmtId="3" fontId="10" fillId="5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left" indent="1"/>
    </xf>
    <xf numFmtId="9" fontId="9" fillId="0" borderId="0" xfId="0" applyNumberFormat="1" applyFont="1" applyAlignment="1">
      <alignment horizontal="left"/>
    </xf>
    <xf numFmtId="4" fontId="8" fillId="5" borderId="0" xfId="0" applyNumberFormat="1" applyFont="1" applyFill="1" applyAlignment="1">
      <alignment horizontal="right"/>
    </xf>
    <xf numFmtId="4" fontId="9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4" fontId="9" fillId="5" borderId="0" xfId="0" applyNumberFormat="1" applyFont="1" applyFill="1" applyAlignment="1">
      <alignment horizontal="right"/>
    </xf>
    <xf numFmtId="0" fontId="8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0" borderId="0" xfId="0" applyFont="1"/>
    <xf numFmtId="166" fontId="0" fillId="0" borderId="0" xfId="0" applyNumberFormat="1"/>
    <xf numFmtId="166" fontId="0" fillId="3" borderId="0" xfId="0" applyNumberFormat="1" applyFill="1"/>
    <xf numFmtId="9" fontId="0" fillId="0" borderId="0" xfId="0" applyNumberFormat="1"/>
    <xf numFmtId="166" fontId="3" fillId="0" borderId="0" xfId="0" applyNumberFormat="1" applyFont="1"/>
    <xf numFmtId="9" fontId="0" fillId="2" borderId="1" xfId="1" applyNumberFormat="1" applyFont="1"/>
    <xf numFmtId="165" fontId="0" fillId="2" borderId="1" xfId="1" applyNumberFormat="1" applyFont="1"/>
    <xf numFmtId="10" fontId="0" fillId="0" borderId="0" xfId="0" applyNumberFormat="1"/>
    <xf numFmtId="165" fontId="0" fillId="0" borderId="0" xfId="0" applyNumberFormat="1"/>
    <xf numFmtId="165" fontId="12" fillId="2" borderId="1" xfId="1" applyNumberFormat="1" applyFont="1"/>
    <xf numFmtId="165" fontId="13" fillId="2" borderId="1" xfId="1" applyNumberFormat="1" applyFont="1"/>
    <xf numFmtId="166" fontId="14" fillId="0" borderId="0" xfId="0" applyNumberFormat="1" applyFont="1"/>
    <xf numFmtId="0" fontId="15" fillId="0" borderId="0" xfId="0" applyFont="1" applyAlignment="1">
      <alignment horizontal="left" indent="1"/>
    </xf>
    <xf numFmtId="0" fontId="16" fillId="0" borderId="0" xfId="0" applyFont="1"/>
    <xf numFmtId="0" fontId="0" fillId="0" borderId="0" xfId="0" applyAlignment="1">
      <alignment horizontal="right"/>
    </xf>
    <xf numFmtId="9" fontId="12" fillId="2" borderId="1" xfId="1" applyNumberFormat="1" applyFont="1"/>
    <xf numFmtId="0" fontId="8" fillId="0" borderId="6" xfId="0" applyFont="1" applyBorder="1"/>
    <xf numFmtId="0" fontId="9" fillId="4" borderId="0" xfId="0" applyFont="1" applyFill="1" applyAlignment="1">
      <alignment horizontal="left"/>
    </xf>
    <xf numFmtId="0" fontId="9" fillId="4" borderId="6" xfId="0" applyFont="1" applyFill="1" applyBorder="1" applyAlignment="1">
      <alignment horizontal="left"/>
    </xf>
    <xf numFmtId="3" fontId="8" fillId="5" borderId="6" xfId="0" applyNumberFormat="1" applyFont="1" applyFill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0" fontId="8" fillId="5" borderId="6" xfId="0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9" fontId="14" fillId="2" borderId="1" xfId="1" applyNumberFormat="1" applyFont="1"/>
    <xf numFmtId="9" fontId="14" fillId="0" borderId="0" xfId="0" applyNumberFormat="1" applyFont="1"/>
    <xf numFmtId="3" fontId="0" fillId="0" borderId="0" xfId="0" applyNumberFormat="1"/>
    <xf numFmtId="9" fontId="17" fillId="2" borderId="1" xfId="1" applyNumberFormat="1" applyFont="1"/>
    <xf numFmtId="0" fontId="18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4" fontId="0" fillId="0" borderId="0" xfId="0" applyNumberFormat="1"/>
    <xf numFmtId="167" fontId="0" fillId="0" borderId="0" xfId="0" applyNumberFormat="1"/>
    <xf numFmtId="0" fontId="19" fillId="0" borderId="0" xfId="0" applyFont="1"/>
    <xf numFmtId="0" fontId="20" fillId="6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0" fillId="7" borderId="0" xfId="0" applyFill="1" applyAlignment="1">
      <alignment horizontal="left" indent="4"/>
    </xf>
    <xf numFmtId="3" fontId="0" fillId="7" borderId="0" xfId="0" applyNumberFormat="1" applyFill="1" applyAlignment="1">
      <alignment horizontal="right"/>
    </xf>
    <xf numFmtId="0" fontId="9" fillId="7" borderId="0" xfId="0" applyFont="1" applyFill="1" applyAlignment="1">
      <alignment horizontal="left" indent="6"/>
    </xf>
    <xf numFmtId="3" fontId="9" fillId="7" borderId="0" xfId="0" applyNumberFormat="1" applyFont="1" applyFill="1" applyAlignment="1">
      <alignment horizontal="right"/>
    </xf>
    <xf numFmtId="0" fontId="0" fillId="0" borderId="0" xfId="0" applyAlignment="1">
      <alignment horizontal="left" indent="7"/>
    </xf>
    <xf numFmtId="3" fontId="0" fillId="0" borderId="0" xfId="0" applyNumberFormat="1" applyAlignment="1">
      <alignment horizontal="right"/>
    </xf>
    <xf numFmtId="0" fontId="9" fillId="7" borderId="0" xfId="0" applyFont="1" applyFill="1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/>
    </xf>
    <xf numFmtId="0" fontId="0" fillId="7" borderId="0" xfId="0" applyFill="1" applyAlignment="1">
      <alignment horizontal="left" indent="1"/>
    </xf>
    <xf numFmtId="0" fontId="0" fillId="7" borderId="0" xfId="0" applyFill="1" applyAlignment="1">
      <alignment horizontal="left" indent="7"/>
    </xf>
    <xf numFmtId="0" fontId="0" fillId="0" borderId="0" xfId="0" applyAlignment="1">
      <alignment horizontal="left" indent="1"/>
    </xf>
    <xf numFmtId="0" fontId="9" fillId="0" borderId="0" xfId="0" applyFont="1" applyAlignment="1">
      <alignment horizontal="left" indent="6"/>
    </xf>
    <xf numFmtId="3" fontId="10" fillId="7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10" fillId="0" borderId="0" xfId="0" applyNumberFormat="1" applyFont="1" applyAlignment="1">
      <alignment horizontal="right"/>
    </xf>
    <xf numFmtId="4" fontId="0" fillId="7" borderId="0" xfId="0" applyNumberFormat="1" applyFill="1" applyAlignment="1">
      <alignment horizontal="right"/>
    </xf>
    <xf numFmtId="4" fontId="10" fillId="7" borderId="0" xfId="0" applyNumberFormat="1" applyFont="1" applyFill="1" applyAlignment="1">
      <alignment horizontal="right"/>
    </xf>
    <xf numFmtId="3" fontId="3" fillId="0" borderId="0" xfId="0" applyNumberFormat="1" applyFont="1"/>
    <xf numFmtId="166" fontId="16" fillId="0" borderId="0" xfId="0" applyNumberFormat="1" applyFont="1"/>
    <xf numFmtId="0" fontId="21" fillId="8" borderId="0" xfId="0" applyFont="1" applyFill="1"/>
    <xf numFmtId="9" fontId="22" fillId="0" borderId="0" xfId="0" applyNumberFormat="1" applyFont="1"/>
    <xf numFmtId="0" fontId="15" fillId="0" borderId="0" xfId="0" applyFont="1"/>
    <xf numFmtId="0" fontId="22" fillId="0" borderId="0" xfId="0" applyFont="1"/>
    <xf numFmtId="10" fontId="22" fillId="0" borderId="0" xfId="0" applyNumberFormat="1" applyFont="1"/>
    <xf numFmtId="165" fontId="16" fillId="0" borderId="0" xfId="0" applyNumberFormat="1" applyFont="1"/>
    <xf numFmtId="166" fontId="22" fillId="0" borderId="0" xfId="0" applyNumberFormat="1" applyFont="1"/>
    <xf numFmtId="166" fontId="23" fillId="0" borderId="0" xfId="0" applyNumberFormat="1" applyFont="1"/>
    <xf numFmtId="9" fontId="23" fillId="0" borderId="0" xfId="0" applyNumberFormat="1" applyFont="1"/>
    <xf numFmtId="0" fontId="16" fillId="0" borderId="7" xfId="0" applyFont="1" applyBorder="1"/>
    <xf numFmtId="165" fontId="16" fillId="0" borderId="8" xfId="0" applyNumberFormat="1" applyFont="1" applyBorder="1"/>
    <xf numFmtId="0" fontId="0" fillId="9" borderId="0" xfId="0" applyFill="1"/>
    <xf numFmtId="166" fontId="0" fillId="9" borderId="0" xfId="0" applyNumberFormat="1" applyFill="1"/>
    <xf numFmtId="0" fontId="3" fillId="9" borderId="0" xfId="0" applyFont="1" applyFill="1"/>
    <xf numFmtId="43" fontId="3" fillId="0" borderId="0" xfId="0" applyNumberFormat="1" applyFont="1"/>
    <xf numFmtId="0" fontId="0" fillId="0" borderId="2" xfId="0" applyBorder="1" applyAlignment="1">
      <alignment horizontal="right"/>
    </xf>
    <xf numFmtId="0" fontId="24" fillId="0" borderId="2" xfId="0" applyFont="1" applyBorder="1"/>
    <xf numFmtId="43" fontId="0" fillId="0" borderId="2" xfId="0" applyNumberFormat="1" applyBorder="1"/>
    <xf numFmtId="0" fontId="0" fillId="10" borderId="0" xfId="0" applyFill="1"/>
    <xf numFmtId="0" fontId="0" fillId="12" borderId="0" xfId="0" applyFill="1"/>
    <xf numFmtId="0" fontId="0" fillId="0" borderId="11" xfId="0" applyBorder="1"/>
    <xf numFmtId="0" fontId="0" fillId="0" borderId="9" xfId="0" applyBorder="1"/>
    <xf numFmtId="0" fontId="26" fillId="0" borderId="0" xfId="0" applyFont="1"/>
    <xf numFmtId="165" fontId="0" fillId="0" borderId="9" xfId="0" applyNumberFormat="1" applyBorder="1"/>
    <xf numFmtId="9" fontId="0" fillId="0" borderId="9" xfId="0" applyNumberFormat="1" applyBorder="1"/>
    <xf numFmtId="165" fontId="0" fillId="12" borderId="0" xfId="0" applyNumberFormat="1" applyFill="1"/>
    <xf numFmtId="9" fontId="0" fillId="12" borderId="0" xfId="0" applyNumberFormat="1" applyFill="1"/>
    <xf numFmtId="0" fontId="12" fillId="0" borderId="9" xfId="0" applyFont="1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12" borderId="11" xfId="0" applyNumberFormat="1" applyFill="1" applyBorder="1" applyAlignment="1">
      <alignment horizontal="center"/>
    </xf>
    <xf numFmtId="170" fontId="0" fillId="12" borderId="0" xfId="0" applyNumberFormat="1" applyFill="1" applyAlignment="1">
      <alignment horizontal="center"/>
    </xf>
    <xf numFmtId="0" fontId="0" fillId="9" borderId="11" xfId="0" applyFill="1" applyBorder="1"/>
    <xf numFmtId="0" fontId="0" fillId="3" borderId="11" xfId="0" applyFill="1" applyBorder="1"/>
    <xf numFmtId="3" fontId="24" fillId="0" borderId="14" xfId="0" applyNumberFormat="1" applyFont="1" applyBorder="1"/>
    <xf numFmtId="0" fontId="24" fillId="0" borderId="9" xfId="0" applyFont="1" applyBorder="1"/>
    <xf numFmtId="10" fontId="24" fillId="0" borderId="9" xfId="0" applyNumberFormat="1" applyFont="1" applyBorder="1"/>
    <xf numFmtId="3" fontId="24" fillId="0" borderId="11" xfId="0" applyNumberFormat="1" applyFont="1" applyBorder="1"/>
    <xf numFmtId="0" fontId="24" fillId="0" borderId="0" xfId="0" applyFont="1"/>
    <xf numFmtId="10" fontId="24" fillId="0" borderId="0" xfId="0" applyNumberFormat="1" applyFont="1"/>
    <xf numFmtId="0" fontId="24" fillId="12" borderId="0" xfId="0" applyFont="1" applyFill="1"/>
    <xf numFmtId="10" fontId="24" fillId="12" borderId="0" xfId="0" applyNumberFormat="1" applyFont="1" applyFill="1"/>
    <xf numFmtId="3" fontId="24" fillId="12" borderId="11" xfId="0" applyNumberFormat="1" applyFont="1" applyFill="1" applyBorder="1"/>
    <xf numFmtId="0" fontId="24" fillId="0" borderId="10" xfId="0" applyFont="1" applyBorder="1"/>
    <xf numFmtId="44" fontId="0" fillId="0" borderId="0" xfId="0" applyNumberFormat="1"/>
    <xf numFmtId="168" fontId="14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71" fontId="14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0" fontId="12" fillId="0" borderId="0" xfId="0" applyNumberFormat="1" applyFont="1" applyAlignment="1">
      <alignment horizontal="center"/>
    </xf>
    <xf numFmtId="170" fontId="0" fillId="0" borderId="15" xfId="0" applyNumberFormat="1" applyBorder="1" applyAlignment="1">
      <alignment horizontal="center"/>
    </xf>
    <xf numFmtId="170" fontId="0" fillId="0" borderId="13" xfId="0" applyNumberFormat="1" applyBorder="1" applyAlignment="1">
      <alignment horizontal="center"/>
    </xf>
    <xf numFmtId="170" fontId="0" fillId="0" borderId="16" xfId="0" applyNumberForma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0" fontId="3" fillId="9" borderId="11" xfId="0" applyFont="1" applyFill="1" applyBorder="1"/>
    <xf numFmtId="168" fontId="27" fillId="0" borderId="0" xfId="0" applyNumberFormat="1" applyFont="1" applyAlignment="1">
      <alignment horizontal="center"/>
    </xf>
    <xf numFmtId="0" fontId="0" fillId="13" borderId="0" xfId="0" applyFill="1"/>
    <xf numFmtId="0" fontId="3" fillId="13" borderId="0" xfId="0" applyFont="1" applyFill="1" applyAlignment="1">
      <alignment horizontal="left"/>
    </xf>
    <xf numFmtId="0" fontId="3" fillId="13" borderId="0" xfId="0" applyFont="1" applyFill="1" applyAlignment="1">
      <alignment horizontal="center"/>
    </xf>
    <xf numFmtId="172" fontId="0" fillId="0" borderId="0" xfId="0" applyNumberFormat="1"/>
    <xf numFmtId="0" fontId="0" fillId="3" borderId="0" xfId="0" applyFill="1" applyAlignment="1">
      <alignment horizontal="center"/>
    </xf>
    <xf numFmtId="0" fontId="21" fillId="3" borderId="0" xfId="0" applyFont="1" applyFill="1"/>
    <xf numFmtId="0" fontId="28" fillId="3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19" fillId="0" borderId="11" xfId="0" applyFont="1" applyBorder="1"/>
    <xf numFmtId="0" fontId="19" fillId="0" borderId="14" xfId="0" applyFont="1" applyBorder="1"/>
    <xf numFmtId="0" fontId="19" fillId="0" borderId="15" xfId="0" applyFont="1" applyBorder="1"/>
    <xf numFmtId="172" fontId="0" fillId="0" borderId="9" xfId="0" applyNumberFormat="1" applyBorder="1"/>
    <xf numFmtId="0" fontId="16" fillId="0" borderId="13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172" fontId="0" fillId="0" borderId="13" xfId="0" applyNumberFormat="1" applyBorder="1"/>
    <xf numFmtId="172" fontId="0" fillId="0" borderId="16" xfId="0" applyNumberFormat="1" applyBorder="1"/>
    <xf numFmtId="172" fontId="0" fillId="0" borderId="6" xfId="0" applyNumberFormat="1" applyBorder="1"/>
    <xf numFmtId="172" fontId="0" fillId="0" borderId="10" xfId="0" applyNumberFormat="1" applyBorder="1"/>
    <xf numFmtId="0" fontId="0" fillId="11" borderId="0" xfId="0" applyFill="1"/>
    <xf numFmtId="173" fontId="0" fillId="14" borderId="0" xfId="0" applyNumberFormat="1" applyFill="1"/>
    <xf numFmtId="10" fontId="0" fillId="14" borderId="9" xfId="0" applyNumberFormat="1" applyFill="1" applyBorder="1" applyAlignment="1">
      <alignment horizontal="center"/>
    </xf>
    <xf numFmtId="166" fontId="0" fillId="11" borderId="0" xfId="0" applyNumberFormat="1" applyFill="1"/>
    <xf numFmtId="0" fontId="29" fillId="11" borderId="0" xfId="0" applyFont="1" applyFill="1"/>
    <xf numFmtId="10" fontId="0" fillId="14" borderId="6" xfId="0" applyNumberFormat="1" applyFill="1" applyBorder="1"/>
    <xf numFmtId="0" fontId="0" fillId="15" borderId="0" xfId="0" applyFill="1"/>
    <xf numFmtId="0" fontId="3" fillId="0" borderId="15" xfId="0" applyFont="1" applyBorder="1"/>
    <xf numFmtId="0" fontId="3" fillId="0" borderId="13" xfId="0" applyFont="1" applyBorder="1"/>
    <xf numFmtId="0" fontId="3" fillId="0" borderId="16" xfId="0" applyFont="1" applyBorder="1"/>
    <xf numFmtId="174" fontId="0" fillId="0" borderId="0" xfId="0" applyNumberFormat="1"/>
    <xf numFmtId="174" fontId="0" fillId="0" borderId="6" xfId="0" applyNumberFormat="1" applyBorder="1"/>
    <xf numFmtId="0" fontId="0" fillId="0" borderId="14" xfId="0" applyBorder="1"/>
    <xf numFmtId="174" fontId="0" fillId="0" borderId="9" xfId="0" applyNumberFormat="1" applyBorder="1"/>
    <xf numFmtId="0" fontId="25" fillId="15" borderId="0" xfId="0" applyFont="1" applyFill="1" applyAlignment="1">
      <alignment horizontal="center"/>
    </xf>
    <xf numFmtId="0" fontId="12" fillId="9" borderId="9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2"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Summary!$D$16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</c:v>
                </c:pt>
                <c:pt idx="5">
                  <c:v>52-wk Range</c:v>
                </c:pt>
              </c:strCache>
            </c:strRef>
          </c:cat>
          <c:val>
            <c:numRef>
              <c:f>Summary!$D$17:$D$22</c:f>
              <c:numCache>
                <c:formatCode>_([$$-409]* #,##0.00_);_([$$-409]* \(#,##0.00\);_([$$-409]* "-"??_);_(@_)</c:formatCode>
                <c:ptCount val="6"/>
                <c:pt idx="0">
                  <c:v>209</c:v>
                </c:pt>
                <c:pt idx="1">
                  <c:v>-23.458141174288063</c:v>
                </c:pt>
                <c:pt idx="2" formatCode="_-[$$-409]* #,##0.00_ ;_-[$$-409]* \-#,##0.00\ ;_-[$$-409]* &quot;-&quot;??_ ;_-@_ ">
                  <c:v>226.1772606484443</c:v>
                </c:pt>
                <c:pt idx="3" formatCode="_-[$$-409]* #,##0.00_ ;_-[$$-409]* \-#,##0.00\ ;_-[$$-409]* &quot;-&quot;??_ ;_-@_ ">
                  <c:v>27.8888038546277</c:v>
                </c:pt>
                <c:pt idx="4" formatCode="_-[$$-409]* #,##0.00_ ;_-[$$-409]* \-#,##0.00\ ;_-[$$-409]* &quot;-&quot;??_ ;_-@_ ">
                  <c:v>403.00182193876896</c:v>
                </c:pt>
                <c:pt idx="5">
                  <c:v>299.45499999999998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0-4051-A501-1B0F013A4FA5}"/>
            </c:ext>
          </c:extLst>
        </c:ser>
        <c:ser>
          <c:idx val="1"/>
          <c:order val="1"/>
          <c:tx>
            <c:strRef>
              <c:f>Summary!$E$16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</c:v>
                </c:pt>
                <c:pt idx="5">
                  <c:v>52-wk Range</c:v>
                </c:pt>
              </c:strCache>
            </c:strRef>
          </c:cat>
          <c:val>
            <c:numRef>
              <c:f>Summary!$E$17:$E$22</c:f>
              <c:numCache>
                <c:formatCode>_-[$$-409]* #,##0.00_ ;_-[$$-409]* \-#,##0.00\ ;_-[$$-409]* "-"??_ ;_-@_ </c:formatCode>
                <c:ptCount val="6"/>
                <c:pt idx="0">
                  <c:v>234</c:v>
                </c:pt>
                <c:pt idx="1">
                  <c:v>104.35136596661856</c:v>
                </c:pt>
                <c:pt idx="2">
                  <c:v>198.0287839189707</c:v>
                </c:pt>
                <c:pt idx="3">
                  <c:v>83.620554989621283</c:v>
                </c:pt>
                <c:pt idx="4">
                  <c:v>88.051327012812351</c:v>
                </c:pt>
                <c:pt idx="5">
                  <c:v>11.942500000000052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0-4051-A501-1B0F013A4FA5}"/>
            </c:ext>
          </c:extLst>
        </c:ser>
        <c:ser>
          <c:idx val="2"/>
          <c:order val="2"/>
          <c:tx>
            <c:strRef>
              <c:f>Summary!$F$16</c:f>
              <c:strCache>
                <c:ptCount val="1"/>
                <c:pt idx="0">
                  <c:v>Max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EV/Revenue</c:v>
                </c:pt>
                <c:pt idx="2">
                  <c:v>EV/EBITDA</c:v>
                </c:pt>
                <c:pt idx="3">
                  <c:v>P/Sales</c:v>
                </c:pt>
                <c:pt idx="4">
                  <c:v>P/E</c:v>
                </c:pt>
                <c:pt idx="5">
                  <c:v>52-wk Range</c:v>
                </c:pt>
              </c:strCache>
            </c:strRef>
          </c:cat>
          <c:val>
            <c:numRef>
              <c:f>Summary!$F$17:$F$22</c:f>
              <c:numCache>
                <c:formatCode>_([$$-409]* #,##0.00_);_([$$-409]* \(#,##0.00\);_([$$-409]* "-"??_);_(@_)</c:formatCode>
                <c:ptCount val="6"/>
                <c:pt idx="0">
                  <c:v>443</c:v>
                </c:pt>
                <c:pt idx="1">
                  <c:v>80.8932247923305</c:v>
                </c:pt>
                <c:pt idx="2" formatCode="_-[$$-409]* #,##0.00_ ;_-[$$-409]* \-#,##0.00\ ;_-[$$-409]* &quot;-&quot;??_ ;_-@_ ">
                  <c:v>424.20604456741501</c:v>
                </c:pt>
                <c:pt idx="3" formatCode="_-[$$-409]* #,##0.00_ ;_-[$$-409]* \-#,##0.00\ ;_-[$$-409]* &quot;-&quot;??_ ;_-@_ ">
                  <c:v>111.50935884424898</c:v>
                </c:pt>
                <c:pt idx="4" formatCode="_-[$$-409]* #,##0.00_ ;_-[$$-409]* \-#,##0.00\ ;_-[$$-409]* &quot;-&quot;??_ ;_-@_ ">
                  <c:v>491.05314895158131</c:v>
                </c:pt>
                <c:pt idx="5">
                  <c:v>311.39750000000004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00-4051-A501-1B0F013A4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0888720"/>
        <c:axId val="750877200"/>
      </c:barChart>
      <c:catAx>
        <c:axId val="75088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77200"/>
        <c:crosses val="autoZero"/>
        <c:auto val="1"/>
        <c:lblAlgn val="ctr"/>
        <c:lblOffset val="100"/>
        <c:noMultiLvlLbl val="0"/>
      </c:catAx>
      <c:valAx>
        <c:axId val="75087720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8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14</xdr:row>
      <xdr:rowOff>152399</xdr:rowOff>
    </xdr:from>
    <xdr:to>
      <xdr:col>13</xdr:col>
      <xdr:colOff>466725</xdr:colOff>
      <xdr:row>28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E0C88-8AB2-F021-4F4D-50C31753C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0.14167</cdr:x>
      <cdr:y>0.29182</cdr:y>
    </cdr:from>
    <cdr:to>
      <cdr:x>0.96458</cdr:x>
      <cdr:y>0.29182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44EB3598-EF6E-CFE5-98F1-F3F22EEEE7FB}"/>
            </a:ext>
          </a:extLst>
        </cdr:cNvPr>
        <cdr:cNvCxnSpPr/>
      </cdr:nvCxnSpPr>
      <cdr:spPr>
        <a:xfrm xmlns:a="http://schemas.openxmlformats.org/drawingml/2006/main">
          <a:off x="647700" y="781051"/>
          <a:ext cx="376237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250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316</v>
    <v t="i">317</v>
    <v t="i">320</v>
    <v t="i">321</v>
    <v t="i">322</v>
    <v t="i">323</v>
    <v t="i">324</v>
    <v t="i">327</v>
    <v t="i">328</v>
    <v t="i">329</v>
    <v t="i">331</v>
    <v t="i">334</v>
    <v t="i">335</v>
    <v t="i">336</v>
    <v t="i">337</v>
    <v t="i">338</v>
    <v t="i">341</v>
    <v t="i">342</v>
    <v t="i">343</v>
    <v t="i">344</v>
    <v t="i">345</v>
    <v t="i">348</v>
    <v t="i">349</v>
    <v t="i">350</v>
    <v t="i">351</v>
    <v t="i">352</v>
    <v t="i">355</v>
    <v t="i">356</v>
    <v t="i">357</v>
    <v t="i">359</v>
    <v t="i">362</v>
    <v t="i">363</v>
    <v t="i">364</v>
  </a>
  <a r="1" c="250">
    <v>292.51</v>
    <v>294.77999999999997</v>
    <v>292.18</v>
    <v>289.33999999999997</v>
    <v>286.89999999999998</v>
    <v>282.31</v>
    <v>283.63</v>
    <v>281.58</v>
    <v>282.3</v>
    <v>279.74</v>
    <v>280.95</v>
    <v>282.61</v>
    <v>281.35000000000002</v>
    <v>284.43</v>
    <v>285.45999999999998</v>
    <v>293.08999999999997</v>
    <v>291.14999999999998</v>
    <v>290.11</v>
    <v>290.32</v>
    <v>288.7</v>
    <v>290.05</v>
    <v>289.77</v>
    <v>288.83</v>
    <v>294.36</v>
    <v>294.3</v>
    <v>308.42</v>
    <v>310.20999999999998</v>
    <v>307.60000000000002</v>
    <v>310.02</v>
    <v>308.55</v>
    <v>304.83</v>
    <v>301.94</v>
    <v>303.05</v>
    <v>304.81</v>
    <v>307.57</v>
    <v>310.72000000000003</v>
    <v>304.27</v>
    <v>309.95</v>
    <v>308.33</v>
    <v>304.29000000000002</v>
    <v>305.77</v>
    <v>307.45</v>
    <v>310.37</v>
    <v>321.29000000000002</v>
    <v>317.25</v>
    <v>306.76</v>
    <v>299.39999999999998</v>
    <v>297.5</v>
    <v>299.83</v>
    <v>303.97000000000003</v>
    <v>303.60000000000002</v>
    <v>306.92</v>
    <v>307</v>
    <v>305.44</v>
    <v>305.67</v>
    <v>306.92</v>
    <v>313.58</v>
    <v>312.69</v>
    <v>307.08999999999997</v>
    <v>312.37</v>
    <v>313.63</v>
    <v>311.58</v>
    <v>318.27</v>
    <v>300.11</v>
    <v>299.89</v>
    <v>299.83</v>
    <v>303.95999999999998</v>
    <v>306.77999999999997</v>
    <v>309.89999999999998</v>
    <v>316.07</v>
    <v>312.48</v>
    <v>309.10000000000002</v>
    <v>311.3</v>
    <v>308.72000000000003</v>
    <v>319.08</v>
    <v>318.48</v>
    <v>316.22000000000003</v>
    <v>316.74</v>
    <v>316.81</v>
    <v>314.5</v>
    <v>319.64999999999998</v>
    <v>313.64</v>
    <v>311.95999999999998</v>
    <v>315.72000000000003</v>
    <v>316.79000000000002</v>
    <v>318.13</v>
    <v>313.49</v>
    <v>313.68</v>
    <v>311.92</v>
    <v>308.69</v>
    <v>307.5</v>
    <v>314.48</v>
    <v>318.61</v>
    <v>321.23</v>
    <v>319.8</v>
    <v>316.44</v>
    <v>314.31</v>
    <v>314.57</v>
    <v>314.95</v>
    <v>312.83999999999997</v>
    <v>311.86</v>
    <v>313.85000000000002</v>
    <v>312.68</v>
    <v>312.39</v>
    <v>311.57</v>
    <v>308.98</v>
    <v>307.36</v>
    <v>304.77999999999997</v>
    <v>300.43</v>
    <v>301.72000000000003</v>
    <v>303.16000000000003</v>
    <v>301.91000000000003</v>
    <v>296.29000000000002</v>
    <v>292.31</v>
    <v>289.63</v>
    <v>287.45999999999998</v>
    <v>289.52</v>
    <v>291.47000000000003</v>
    <v>285.55</v>
    <v>285.63</v>
    <v>291.55</v>
    <v>292.17</v>
    <v>297.49</v>
    <v>294.63</v>
    <v>294.08</v>
    <v>293.52999999999997</v>
    <v>291.67</v>
    <v>293.02</v>
    <v>298.39</v>
    <v>299.91000000000003</v>
    <v>301.88</v>
    <v>299.62</v>
    <v>298.89999999999998</v>
    <v>300.37</v>
    <v>297.07</v>
    <v>295.74</v>
    <v>299.17</v>
    <v>298.12</v>
    <v>294.48</v>
    <v>298.47000000000003</v>
    <v>299.22000000000003</v>
    <v>302.67</v>
    <v>303.61</v>
    <v>300.07</v>
    <v>302.89</v>
    <v>304.23</v>
    <v>298.77</v>
    <v>307.66000000000003</v>
    <v>307.91000000000003</v>
    <v>305.45</v>
    <v>304.36</v>
    <v>301.64</v>
    <v>305.07</v>
    <v>308.95</v>
    <v>308.93</v>
    <v>308.7</v>
    <v>310.93</v>
    <v>313.08</v>
    <v>313.22000000000003</v>
    <v>314.07</v>
    <v>313.44</v>
    <v>312.94</v>
    <v>311.43</v>
    <v>312.22000000000003</v>
    <v>313.54000000000002</v>
    <v>315.76</v>
    <v>316.39</v>
    <v>316.99</v>
    <v>314.38</v>
    <v>312.8</v>
    <v>312.52</v>
    <v>305.94</v>
    <v>308.43</v>
    <v>305.39999999999998</v>
    <v>302.07</v>
    <v>303.29000000000002</v>
    <v>304.97000000000003</v>
    <v>301.14</v>
    <v>302.38</v>
    <v>302.99</v>
    <v>303.19</v>
    <v>304.33</v>
    <v>302.3</v>
    <v>305.24</v>
    <v>302.99</v>
    <v>303.89</v>
    <v>300.52</v>
    <v>299.88</v>
    <v>300.98</v>
    <v>296.04000000000002</v>
    <v>296.32</v>
    <v>294.39999999999998</v>
    <v>293.81</v>
    <v>297.01</v>
    <v>300.11</v>
    <v>304.56</v>
    <v>305.25</v>
    <v>305.33</v>
    <v>308.08999999999997</v>
    <v>307.77</v>
    <v>307.48</v>
    <v>310.11</v>
    <v>306.97000000000003</v>
    <v>305.79000000000002</v>
    <v>310</v>
    <v>306.39999999999998</v>
    <v>302.35000000000002</v>
    <v>302.43</v>
    <v>298.43</v>
    <v>296.37</v>
    <v>299.20999999999998</v>
    <v>305.67</v>
    <v>298.41000000000003</v>
    <v>299.66000000000003</v>
    <v>299.10000000000002</v>
    <v>306.83</v>
    <v>306.94</v>
    <v>307.58</v>
    <v>307.02999999999997</v>
    <v>304.89999999999998</v>
    <v>304.58999999999997</v>
    <v>302.74</v>
    <v>304.16000000000003</v>
    <v>309.35000000000002</v>
    <v>304.89999999999998</v>
    <v>310.45</v>
    <v>312.39999999999998</v>
    <v>311.82</v>
    <v>303.57</v>
    <v>300.72000000000003</v>
    <v>307.70999999999998</v>
    <v>308.54000000000002</v>
    <v>311.23</v>
    <v>309.79000000000002</v>
    <v>310.79000000000002</v>
    <v>310.52999999999997</v>
    <v>309.70999999999998</v>
    <v>316.72000000000003</v>
    <v>318.73</v>
    <v>314.5</v>
    <v>318.69</v>
    <v>319.64999999999998</v>
    <v>315.83999999999997</v>
    <v>316.22000000000003</v>
    <v>310.83999999999997</v>
    <v>313.33</v>
    <v>310.68</v>
    <v>308.52999999999997</v>
    <v>308.02999999999997</v>
    <v>305.63</v>
  </a>
</arrayData>
</file>

<file path=xl/richData/rdrichvalue.xml><?xml version="1.0" encoding="utf-8"?>
<rvData xmlns="http://schemas.microsoft.com/office/spreadsheetml/2017/richdata" count="492">
  <rv s="0">
    <fb>45659</fb>
    <v>0</v>
  </rv>
  <rv s="0">
    <fb>292.51</fb>
    <v>1</v>
  </rv>
  <rv s="0">
    <fb>45660</fb>
    <v>0</v>
  </rv>
  <rv s="0">
    <fb>294.77999999999997</fb>
    <v>1</v>
  </rv>
  <rv s="0">
    <fb>45663</fb>
    <v>0</v>
  </rv>
  <rv s="0">
    <fb>292.18</fb>
    <v>1</v>
  </rv>
  <rv s="0">
    <fb>45664</fb>
    <v>0</v>
  </rv>
  <rv s="0">
    <fb>289.33999999999997</fb>
    <v>1</v>
  </rv>
  <rv s="0">
    <fb>45665</fb>
    <v>0</v>
  </rv>
  <rv s="0">
    <fb>286.89999999999998</fb>
    <v>1</v>
  </rv>
  <rv s="0">
    <fb>45667</fb>
    <v>0</v>
  </rv>
  <rv s="0">
    <fb>282.31</fb>
    <v>1</v>
  </rv>
  <rv s="0">
    <fb>45670</fb>
    <v>0</v>
  </rv>
  <rv s="0">
    <fb>283.63</fb>
    <v>1</v>
  </rv>
  <rv s="0">
    <fb>45671</fb>
    <v>0</v>
  </rv>
  <rv s="0">
    <fb>281.58</fb>
    <v>1</v>
  </rv>
  <rv s="0">
    <fb>45672</fb>
    <v>0</v>
  </rv>
  <rv s="0">
    <fb>282.3</fb>
    <v>1</v>
  </rv>
  <rv s="0">
    <fb>45673</fb>
    <v>0</v>
  </rv>
  <rv s="0">
    <fb>279.74</fb>
    <v>1</v>
  </rv>
  <rv s="0">
    <fb>45674</fb>
    <v>0</v>
  </rv>
  <rv s="0">
    <fb>280.95</fb>
    <v>1</v>
  </rv>
  <rv s="0">
    <fb>45678</fb>
    <v>0</v>
  </rv>
  <rv s="0">
    <fb>282.61</fb>
    <v>1</v>
  </rv>
  <rv s="0">
    <fb>45679</fb>
    <v>0</v>
  </rv>
  <rv s="0">
    <fb>281.35000000000002</fb>
    <v>1</v>
  </rv>
  <rv s="0">
    <fb>45680</fb>
    <v>0</v>
  </rv>
  <rv s="0">
    <fb>284.43</fb>
    <v>1</v>
  </rv>
  <rv s="0">
    <fb>45681</fb>
    <v>0</v>
  </rv>
  <rv s="0">
    <fb>285.45999999999998</fb>
    <v>1</v>
  </rv>
  <rv s="0">
    <fb>45684</fb>
    <v>0</v>
  </rv>
  <rv s="0">
    <fb>293.08999999999997</fb>
    <v>1</v>
  </rv>
  <rv s="0">
    <fb>45685</fb>
    <v>0</v>
  </rv>
  <rv s="0">
    <fb>291.14999999999998</fb>
    <v>1</v>
  </rv>
  <rv s="0">
    <fb>45686</fb>
    <v>0</v>
  </rv>
  <rv s="0">
    <fb>290.11</fb>
    <v>1</v>
  </rv>
  <rv s="0">
    <fb>45687</fb>
    <v>0</v>
  </rv>
  <rv s="0">
    <fb>290.32</fb>
    <v>1</v>
  </rv>
  <rv s="0">
    <fb>45688</fb>
    <v>0</v>
  </rv>
  <rv s="0">
    <fb>288.7</fb>
    <v>1</v>
  </rv>
  <rv s="0">
    <fb>45691</fb>
    <v>0</v>
  </rv>
  <rv s="0">
    <fb>290.05</fb>
    <v>1</v>
  </rv>
  <rv s="0">
    <fb>45692</fb>
    <v>0</v>
  </rv>
  <rv s="0">
    <fb>289.77</fb>
    <v>1</v>
  </rv>
  <rv s="0">
    <fb>45693</fb>
    <v>0</v>
  </rv>
  <rv s="0">
    <fb>288.83</fb>
    <v>1</v>
  </rv>
  <rv s="0">
    <fb>45694</fb>
    <v>0</v>
  </rv>
  <rv s="0">
    <fb>294.36</fb>
    <v>1</v>
  </rv>
  <rv s="0">
    <fb>45695</fb>
    <v>0</v>
  </rv>
  <rv s="0">
    <fb>294.3</fb>
    <v>1</v>
  </rv>
  <rv s="0">
    <fb>45698</fb>
    <v>0</v>
  </rv>
  <rv s="0">
    <fb>308.42</fb>
    <v>1</v>
  </rv>
  <rv s="0">
    <fb>45699</fb>
    <v>0</v>
  </rv>
  <rv s="0">
    <fb>310.20999999999998</fb>
    <v>1</v>
  </rv>
  <rv s="0">
    <fb>45700</fb>
    <v>0</v>
  </rv>
  <rv s="0">
    <fb>307.60000000000002</fb>
    <v>1</v>
  </rv>
  <rv s="0">
    <fb>45701</fb>
    <v>0</v>
  </rv>
  <rv s="0">
    <fb>310.02</fb>
    <v>1</v>
  </rv>
  <rv s="0">
    <fb>45702</fb>
    <v>0</v>
  </rv>
  <rv s="0">
    <fb>308.55</fb>
    <v>1</v>
  </rv>
  <rv s="0">
    <fb>45706</fb>
    <v>0</v>
  </rv>
  <rv s="0">
    <fb>304.83</fb>
    <v>1</v>
  </rv>
  <rv s="0">
    <fb>45707</fb>
    <v>0</v>
  </rv>
  <rv s="0">
    <fb>301.94</fb>
    <v>1</v>
  </rv>
  <rv s="0">
    <fb>45708</fb>
    <v>0</v>
  </rv>
  <rv s="0">
    <fb>303.05</fb>
    <v>1</v>
  </rv>
  <rv s="0">
    <fb>45709</fb>
    <v>0</v>
  </rv>
  <rv s="0">
    <fb>304.81</fb>
    <v>1</v>
  </rv>
  <rv s="0">
    <fb>45712</fb>
    <v>0</v>
  </rv>
  <rv s="0">
    <fb>307.57</fb>
    <v>1</v>
  </rv>
  <rv s="0">
    <fb>45713</fb>
    <v>0</v>
  </rv>
  <rv s="0">
    <fb>310.72000000000003</fb>
    <v>1</v>
  </rv>
  <rv s="0">
    <fb>45714</fb>
    <v>0</v>
  </rv>
  <rv s="0">
    <fb>304.27</fb>
    <v>1</v>
  </rv>
  <rv s="0">
    <fb>45715</fb>
    <v>0</v>
  </rv>
  <rv s="0">
    <fb>309.95</fb>
    <v>1</v>
  </rv>
  <rv s="0">
    <fb>45716</fb>
    <v>0</v>
  </rv>
  <rv s="0">
    <fb>308.33</fb>
    <v>1</v>
  </rv>
  <rv s="0">
    <fb>45719</fb>
    <v>0</v>
  </rv>
  <rv s="0">
    <fb>304.29000000000002</fb>
    <v>1</v>
  </rv>
  <rv s="0">
    <fb>45720</fb>
    <v>0</v>
  </rv>
  <rv s="0">
    <fb>305.77</fb>
    <v>1</v>
  </rv>
  <rv s="0">
    <fb>45721</fb>
    <v>0</v>
  </rv>
  <rv s="0">
    <fb>307.45</fb>
    <v>1</v>
  </rv>
  <rv s="0">
    <fb>45722</fb>
    <v>0</v>
  </rv>
  <rv s="0">
    <fb>310.37</fb>
    <v>1</v>
  </rv>
  <rv s="0">
    <fb>45723</fb>
    <v>0</v>
  </rv>
  <rv s="0">
    <fb>321.29000000000002</fb>
    <v>1</v>
  </rv>
  <rv s="0">
    <fb>45726</fb>
    <v>0</v>
  </rv>
  <rv s="0">
    <fb>317.25</fb>
    <v>1</v>
  </rv>
  <rv s="0">
    <fb>45727</fb>
    <v>0</v>
  </rv>
  <rv s="0">
    <fb>306.76</fb>
    <v>1</v>
  </rv>
  <rv s="0">
    <fb>45728</fb>
    <v>0</v>
  </rv>
  <rv s="0">
    <fb>299.39999999999998</fb>
    <v>1</v>
  </rv>
  <rv s="0">
    <fb>45729</fb>
    <v>0</v>
  </rv>
  <rv s="0">
    <fb>297.5</fb>
    <v>1</v>
  </rv>
  <rv s="0">
    <fb>45730</fb>
    <v>0</v>
  </rv>
  <rv s="0">
    <fb>299.83</fb>
    <v>1</v>
  </rv>
  <rv s="0">
    <fb>45733</fb>
    <v>0</v>
  </rv>
  <rv s="0">
    <fb>303.97000000000003</fb>
    <v>1</v>
  </rv>
  <rv s="0">
    <fb>45734</fb>
    <v>0</v>
  </rv>
  <rv s="0">
    <fb>303.60000000000002</fb>
    <v>1</v>
  </rv>
  <rv s="0">
    <fb>45735</fb>
    <v>0</v>
  </rv>
  <rv s="0">
    <fb>306.92</fb>
    <v>1</v>
  </rv>
  <rv s="0">
    <fb>45736</fb>
    <v>0</v>
  </rv>
  <rv s="0">
    <fb>307</fb>
    <v>1</v>
  </rv>
  <rv s="0">
    <fb>45737</fb>
    <v>0</v>
  </rv>
  <rv s="0">
    <fb>305.44</fb>
    <v>1</v>
  </rv>
  <rv s="0">
    <fb>45740</fb>
    <v>0</v>
  </rv>
  <rv s="0">
    <fb>305.67</fb>
    <v>1</v>
  </rv>
  <rv s="0">
    <fb>45741</fb>
    <v>0</v>
  </rv>
  <rv s="0">
    <fb>45742</fb>
    <v>0</v>
  </rv>
  <rv s="0">
    <fb>313.58</fb>
    <v>1</v>
  </rv>
  <rv s="0">
    <fb>45743</fb>
    <v>0</v>
  </rv>
  <rv s="0">
    <fb>312.69</fb>
    <v>1</v>
  </rv>
  <rv s="0">
    <fb>45744</fb>
    <v>0</v>
  </rv>
  <rv s="0">
    <fb>307.08999999999997</fb>
    <v>1</v>
  </rv>
  <rv s="0">
    <fb>45747</fb>
    <v>0</v>
  </rv>
  <rv s="0">
    <fb>312.37</fb>
    <v>1</v>
  </rv>
  <rv s="0">
    <fb>45748</fb>
    <v>0</v>
  </rv>
  <rv s="0">
    <fb>313.63</fb>
    <v>1</v>
  </rv>
  <rv s="0">
    <fb>45749</fb>
    <v>0</v>
  </rv>
  <rv s="0">
    <fb>311.58</fb>
    <v>1</v>
  </rv>
  <rv s="0">
    <fb>45750</fb>
    <v>0</v>
  </rv>
  <rv s="0">
    <fb>318.27</fb>
    <v>1</v>
  </rv>
  <rv s="0">
    <fb>45751</fb>
    <v>0</v>
  </rv>
  <rv s="0">
    <fb>300.11</fb>
    <v>1</v>
  </rv>
  <rv s="0">
    <fb>45754</fb>
    <v>0</v>
  </rv>
  <rv s="0">
    <fb>299.89</fb>
    <v>1</v>
  </rv>
  <rv s="0">
    <fb>45755</fb>
    <v>0</v>
  </rv>
  <rv s="0">
    <fb>45756</fb>
    <v>0</v>
  </rv>
  <rv s="0">
    <fb>303.95999999999998</fb>
    <v>1</v>
  </rv>
  <rv s="0">
    <fb>45757</fb>
    <v>0</v>
  </rv>
  <rv s="0">
    <fb>306.77999999999997</fb>
    <v>1</v>
  </rv>
  <rv s="0">
    <fb>45758</fb>
    <v>0</v>
  </rv>
  <rv s="0">
    <fb>309.89999999999998</fb>
    <v>1</v>
  </rv>
  <rv s="0">
    <fb>45761</fb>
    <v>0</v>
  </rv>
  <rv s="0">
    <fb>316.07</fb>
    <v>1</v>
  </rv>
  <rv s="0">
    <fb>45762</fb>
    <v>0</v>
  </rv>
  <rv s="0">
    <fb>312.48</fb>
    <v>1</v>
  </rv>
  <rv s="0">
    <fb>45763</fb>
    <v>0</v>
  </rv>
  <rv s="0">
    <fb>309.10000000000002</fb>
    <v>1</v>
  </rv>
  <rv s="0">
    <fb>45764</fb>
    <v>0</v>
  </rv>
  <rv s="0">
    <fb>311.3</fb>
    <v>1</v>
  </rv>
  <rv s="0">
    <fb>45768</fb>
    <v>0</v>
  </rv>
  <rv s="0">
    <fb>308.72000000000003</fb>
    <v>1</v>
  </rv>
  <rv s="0">
    <fb>45769</fb>
    <v>0</v>
  </rv>
  <rv s="0">
    <fb>319.08</fb>
    <v>1</v>
  </rv>
  <rv s="0">
    <fb>45770</fb>
    <v>0</v>
  </rv>
  <rv s="0">
    <fb>318.48</fb>
    <v>1</v>
  </rv>
  <rv s="0">
    <fb>45771</fb>
    <v>0</v>
  </rv>
  <rv s="0">
    <fb>316.22000000000003</fb>
    <v>1</v>
  </rv>
  <rv s="0">
    <fb>45772</fb>
    <v>0</v>
  </rv>
  <rv s="0">
    <fb>316.74</fb>
    <v>1</v>
  </rv>
  <rv s="0">
    <fb>45775</fb>
    <v>0</v>
  </rv>
  <rv s="0">
    <fb>316.81</fb>
    <v>1</v>
  </rv>
  <rv s="0">
    <fb>45776</fb>
    <v>0</v>
  </rv>
  <rv s="0">
    <fb>314.5</fb>
    <v>1</v>
  </rv>
  <rv s="0">
    <fb>45777</fb>
    <v>0</v>
  </rv>
  <rv s="0">
    <fb>319.64999999999998</fb>
    <v>1</v>
  </rv>
  <rv s="0">
    <fb>45778</fb>
    <v>0</v>
  </rv>
  <rv s="0">
    <fb>313.64</fb>
    <v>1</v>
  </rv>
  <rv s="0">
    <fb>45779</fb>
    <v>0</v>
  </rv>
  <rv s="0">
    <fb>311.95999999999998</fb>
    <v>1</v>
  </rv>
  <rv s="0">
    <fb>45782</fb>
    <v>0</v>
  </rv>
  <rv s="0">
    <fb>315.72000000000003</fb>
    <v>1</v>
  </rv>
  <rv s="0">
    <fb>45783</fb>
    <v>0</v>
  </rv>
  <rv s="0">
    <fb>316.79000000000002</fb>
    <v>1</v>
  </rv>
  <rv s="0">
    <fb>45784</fb>
    <v>0</v>
  </rv>
  <rv s="0">
    <fb>318.13</fb>
    <v>1</v>
  </rv>
  <rv s="0">
    <fb>45785</fb>
    <v>0</v>
  </rv>
  <rv s="0">
    <fb>313.49</fb>
    <v>1</v>
  </rv>
  <rv s="0">
    <fb>45786</fb>
    <v>0</v>
  </rv>
  <rv s="0">
    <fb>313.68</fb>
    <v>1</v>
  </rv>
  <rv s="0">
    <fb>45789</fb>
    <v>0</v>
  </rv>
  <rv s="0">
    <fb>311.92</fb>
    <v>1</v>
  </rv>
  <rv s="0">
    <fb>45790</fb>
    <v>0</v>
  </rv>
  <rv s="0">
    <fb>308.69</fb>
    <v>1</v>
  </rv>
  <rv s="0">
    <fb>45791</fb>
    <v>0</v>
  </rv>
  <rv s="0">
    <fb>307.5</fb>
    <v>1</v>
  </rv>
  <rv s="0">
    <fb>45792</fb>
    <v>0</v>
  </rv>
  <rv s="0">
    <fb>314.48</fb>
    <v>1</v>
  </rv>
  <rv s="0">
    <fb>45793</fb>
    <v>0</v>
  </rv>
  <rv s="0">
    <fb>318.61</fb>
    <v>1</v>
  </rv>
  <rv s="0">
    <fb>45796</fb>
    <v>0</v>
  </rv>
  <rv s="0">
    <fb>321.23</fb>
    <v>1</v>
  </rv>
  <rv s="0">
    <fb>45797</fb>
    <v>0</v>
  </rv>
  <rv s="0">
    <fb>319.8</fb>
    <v>1</v>
  </rv>
  <rv s="0">
    <fb>45798</fb>
    <v>0</v>
  </rv>
  <rv s="0">
    <fb>316.44</fb>
    <v>1</v>
  </rv>
  <rv s="0">
    <fb>45799</fb>
    <v>0</v>
  </rv>
  <rv s="0">
    <fb>314.31</fb>
    <v>1</v>
  </rv>
  <rv s="0">
    <fb>45800</fb>
    <v>0</v>
  </rv>
  <rv s="0">
    <fb>314.57</fb>
    <v>1</v>
  </rv>
  <rv s="0">
    <fb>45804</fb>
    <v>0</v>
  </rv>
  <rv s="0">
    <fb>314.95</fb>
    <v>1</v>
  </rv>
  <rv s="0">
    <fb>45805</fb>
    <v>0</v>
  </rv>
  <rv s="0">
    <fb>312.83999999999997</fb>
    <v>1</v>
  </rv>
  <rv s="0">
    <fb>45806</fb>
    <v>0</v>
  </rv>
  <rv s="0">
    <fb>311.86</fb>
    <v>1</v>
  </rv>
  <rv s="0">
    <fb>45807</fb>
    <v>0</v>
  </rv>
  <rv s="0">
    <fb>313.85000000000002</fb>
    <v>1</v>
  </rv>
  <rv s="0">
    <fb>45810</fb>
    <v>0</v>
  </rv>
  <rv s="0">
    <fb>312.68</fb>
    <v>1</v>
  </rv>
  <rv s="0">
    <fb>45811</fb>
    <v>0</v>
  </rv>
  <rv s="0">
    <fb>312.39</fb>
    <v>1</v>
  </rv>
  <rv s="0">
    <fb>45812</fb>
    <v>0</v>
  </rv>
  <rv s="0">
    <fb>311.57</fb>
    <v>1</v>
  </rv>
  <rv s="0">
    <fb>45813</fb>
    <v>0</v>
  </rv>
  <rv s="0">
    <fb>308.98</fb>
    <v>1</v>
  </rv>
  <rv s="0">
    <fb>45814</fb>
    <v>0</v>
  </rv>
  <rv s="0">
    <fb>307.36</fb>
    <v>1</v>
  </rv>
  <rv s="0">
    <fb>45817</fb>
    <v>0</v>
  </rv>
  <rv s="0">
    <fb>304.77999999999997</fb>
    <v>1</v>
  </rv>
  <rv s="0">
    <fb>45818</fb>
    <v>0</v>
  </rv>
  <rv s="0">
    <fb>300.43</fb>
    <v>1</v>
  </rv>
  <rv s="0">
    <fb>45819</fb>
    <v>0</v>
  </rv>
  <rv s="0">
    <fb>301.72000000000003</fb>
    <v>1</v>
  </rv>
  <rv s="0">
    <fb>45820</fb>
    <v>0</v>
  </rv>
  <rv s="0">
    <fb>303.16000000000003</fb>
    <v>1</v>
  </rv>
  <rv s="0">
    <fb>45821</fb>
    <v>0</v>
  </rv>
  <rv s="0">
    <fb>301.91000000000003</fb>
    <v>1</v>
  </rv>
  <rv s="0">
    <fb>45824</fb>
    <v>0</v>
  </rv>
  <rv s="0">
    <fb>296.29000000000002</fb>
    <v>1</v>
  </rv>
  <rv s="0">
    <fb>45825</fb>
    <v>0</v>
  </rv>
  <rv s="0">
    <fb>292.31</fb>
    <v>1</v>
  </rv>
  <rv s="0">
    <fb>45826</fb>
    <v>0</v>
  </rv>
  <rv s="0">
    <fb>289.63</fb>
    <v>1</v>
  </rv>
  <rv s="0">
    <fb>45828</fb>
    <v>0</v>
  </rv>
  <rv s="0">
    <fb>287.45999999999998</fb>
    <v>1</v>
  </rv>
  <rv s="0">
    <fb>45831</fb>
    <v>0</v>
  </rv>
  <rv s="0">
    <fb>289.52</fb>
    <v>1</v>
  </rv>
  <rv s="0">
    <fb>45832</fb>
    <v>0</v>
  </rv>
  <rv s="0">
    <fb>291.47000000000003</fb>
    <v>1</v>
  </rv>
  <rv s="0">
    <fb>45833</fb>
    <v>0</v>
  </rv>
  <rv s="0">
    <fb>285.55</fb>
    <v>1</v>
  </rv>
  <rv s="0">
    <fb>45834</fb>
    <v>0</v>
  </rv>
  <rv s="0">
    <fb>285.63</fb>
    <v>1</v>
  </rv>
  <rv s="0">
    <fb>45835</fb>
    <v>0</v>
  </rv>
  <rv s="0">
    <fb>291.55</fb>
    <v>1</v>
  </rv>
  <rv s="0">
    <fb>45838</fb>
    <v>0</v>
  </rv>
  <rv s="0">
    <fb>292.17</fb>
    <v>1</v>
  </rv>
  <rv s="0">
    <fb>45839</fb>
    <v>0</v>
  </rv>
  <rv s="0">
    <fb>297.49</fb>
    <v>1</v>
  </rv>
  <rv s="0">
    <fb>45840</fb>
    <v>0</v>
  </rv>
  <rv s="0">
    <fb>294.63</fb>
    <v>1</v>
  </rv>
  <rv s="0">
    <fb>45841</fb>
    <v>0</v>
  </rv>
  <rv s="0">
    <fb>294.08</fb>
    <v>1</v>
  </rv>
  <rv s="0">
    <fb>45845</fb>
    <v>0</v>
  </rv>
  <rv s="0">
    <fb>293.52999999999997</fb>
    <v>1</v>
  </rv>
  <rv s="0">
    <fb>45846</fb>
    <v>0</v>
  </rv>
  <rv s="0">
    <fb>291.67</fb>
    <v>1</v>
  </rv>
  <rv s="0">
    <fb>45847</fb>
    <v>0</v>
  </rv>
  <rv s="0">
    <fb>293.02</fb>
    <v>1</v>
  </rv>
  <rv s="0">
    <fb>45848</fb>
    <v>0</v>
  </rv>
  <rv s="0">
    <fb>298.39</fb>
    <v>1</v>
  </rv>
  <rv s="0">
    <fb>45849</fb>
    <v>0</v>
  </rv>
  <rv s="0">
    <fb>299.91000000000003</fb>
    <v>1</v>
  </rv>
  <rv s="0">
    <fb>45852</fb>
    <v>0</v>
  </rv>
  <rv s="0">
    <fb>301.88</fb>
    <v>1</v>
  </rv>
  <rv s="0">
    <fb>45853</fb>
    <v>0</v>
  </rv>
  <rv s="0">
    <fb>299.62</fb>
    <v>1</v>
  </rv>
  <rv s="0">
    <fb>45854</fb>
    <v>0</v>
  </rv>
  <rv s="0">
    <fb>298.89999999999998</fb>
    <v>1</v>
  </rv>
  <rv s="0">
    <fb>45855</fb>
    <v>0</v>
  </rv>
  <rv s="0">
    <fb>300.37</fb>
    <v>1</v>
  </rv>
  <rv s="0">
    <fb>45856</fb>
    <v>0</v>
  </rv>
  <rv s="0">
    <fb>297.07</fb>
    <v>1</v>
  </rv>
  <rv s="0">
    <fb>45859</fb>
    <v>0</v>
  </rv>
  <rv s="0">
    <fb>295.74</fb>
    <v>1</v>
  </rv>
  <rv s="0">
    <fb>45860</fb>
    <v>0</v>
  </rv>
  <rv s="0">
    <fb>299.17</fb>
    <v>1</v>
  </rv>
  <rv s="0">
    <fb>45861</fb>
    <v>0</v>
  </rv>
  <rv s="0">
    <fb>298.12</fb>
    <v>1</v>
  </rv>
  <rv s="0">
    <fb>45862</fb>
    <v>0</v>
  </rv>
  <rv s="0">
    <fb>294.48</fb>
    <v>1</v>
  </rv>
  <rv s="0">
    <fb>45863</fb>
    <v>0</v>
  </rv>
  <rv s="0">
    <fb>298.47000000000003</fb>
    <v>1</v>
  </rv>
  <rv s="0">
    <fb>45866</fb>
    <v>0</v>
  </rv>
  <rv s="0">
    <fb>299.22000000000003</fb>
    <v>1</v>
  </rv>
  <rv s="0">
    <fb>45867</fb>
    <v>0</v>
  </rv>
  <rv s="0">
    <fb>302.67</fb>
    <v>1</v>
  </rv>
  <rv s="0">
    <fb>45868</fb>
    <v>0</v>
  </rv>
  <rv s="0">
    <fb>303.61</fb>
    <v>1</v>
  </rv>
  <rv s="0">
    <fb>45869</fb>
    <v>0</v>
  </rv>
  <rv s="0">
    <fb>300.07</fb>
    <v>1</v>
  </rv>
  <rv s="0">
    <fb>45870</fb>
    <v>0</v>
  </rv>
  <rv s="0">
    <fb>302.89</fb>
    <v>1</v>
  </rv>
  <rv s="0">
    <fb>45873</fb>
    <v>0</v>
  </rv>
  <rv s="0">
    <fb>304.23</fb>
    <v>1</v>
  </rv>
  <rv s="0">
    <fb>45874</fb>
    <v>0</v>
  </rv>
  <rv s="0">
    <fb>298.77</fb>
    <v>1</v>
  </rv>
  <rv s="0">
    <fb>45875</fb>
    <v>0</v>
  </rv>
  <rv s="0">
    <fb>307.66000000000003</fb>
    <v>1</v>
  </rv>
  <rv s="0">
    <fb>45876</fb>
    <v>0</v>
  </rv>
  <rv s="0">
    <fb>307.91000000000003</fb>
    <v>1</v>
  </rv>
  <rv s="0">
    <fb>45877</fb>
    <v>0</v>
  </rv>
  <rv s="0">
    <fb>305.45</fb>
    <v>1</v>
  </rv>
  <rv s="0">
    <fb>45880</fb>
    <v>0</v>
  </rv>
  <rv s="0">
    <fb>304.36</fb>
    <v>1</v>
  </rv>
  <rv s="0">
    <fb>45881</fb>
    <v>0</v>
  </rv>
  <rv s="0">
    <fb>301.64</fb>
    <v>1</v>
  </rv>
  <rv s="0">
    <fb>45882</fb>
    <v>0</v>
  </rv>
  <rv s="0">
    <fb>305.07</fb>
    <v>1</v>
  </rv>
  <rv s="0">
    <fb>45883</fb>
    <v>0</v>
  </rv>
  <rv s="0">
    <fb>308.95</fb>
    <v>1</v>
  </rv>
  <rv s="0">
    <fb>45884</fb>
    <v>0</v>
  </rv>
  <rv s="0">
    <fb>308.93</fb>
    <v>1</v>
  </rv>
  <rv s="0">
    <fb>45887</fb>
    <v>0</v>
  </rv>
  <rv s="0">
    <fb>308.7</fb>
    <v>1</v>
  </rv>
  <rv s="0">
    <fb>45888</fb>
    <v>0</v>
  </rv>
  <rv s="0">
    <fb>310.93</fb>
    <v>1</v>
  </rv>
  <rv s="0">
    <fb>45889</fb>
    <v>0</v>
  </rv>
  <rv s="0">
    <fb>313.08</fb>
    <v>1</v>
  </rv>
  <rv s="0">
    <fb>45890</fb>
    <v>0</v>
  </rv>
  <rv s="0">
    <fb>313.22000000000003</fb>
    <v>1</v>
  </rv>
  <rv s="0">
    <fb>45891</fb>
    <v>0</v>
  </rv>
  <rv s="0">
    <fb>314.07</fb>
    <v>1</v>
  </rv>
  <rv s="0">
    <fb>45894</fb>
    <v>0</v>
  </rv>
  <rv s="0">
    <fb>313.44</fb>
    <v>1</v>
  </rv>
  <rv s="0">
    <fb>45895</fb>
    <v>0</v>
  </rv>
  <rv s="0">
    <fb>312.94</fb>
    <v>1</v>
  </rv>
  <rv s="0">
    <fb>45896</fb>
    <v>0</v>
  </rv>
  <rv s="0">
    <fb>311.43</fb>
    <v>1</v>
  </rv>
  <rv s="0">
    <fb>45897</fb>
    <v>0</v>
  </rv>
  <rv s="0">
    <fb>312.22000000000003</fb>
    <v>1</v>
  </rv>
  <rv s="0">
    <fb>45898</fb>
    <v>0</v>
  </rv>
  <rv s="0">
    <fb>313.54000000000002</fb>
    <v>1</v>
  </rv>
  <rv s="0">
    <fb>45902</fb>
    <v>0</v>
  </rv>
  <rv s="0">
    <fb>315.76</fb>
    <v>1</v>
  </rv>
  <rv s="0">
    <fb>45903</fb>
    <v>0</v>
  </rv>
  <rv s="0">
    <fb>316.39</fb>
    <v>1</v>
  </rv>
  <rv s="0">
    <fb>45904</fb>
    <v>0</v>
  </rv>
  <rv s="0">
    <fb>316.99</fb>
    <v>1</v>
  </rv>
  <rv s="0">
    <fb>45905</fb>
    <v>0</v>
  </rv>
  <rv s="0">
    <fb>314.38</fb>
    <v>1</v>
  </rv>
  <rv s="0">
    <fb>45908</fb>
    <v>0</v>
  </rv>
  <rv s="0">
    <fb>312.8</fb>
    <v>1</v>
  </rv>
  <rv s="0">
    <fb>45909</fb>
    <v>0</v>
  </rv>
  <rv s="0">
    <fb>312.52</fb>
    <v>1</v>
  </rv>
  <rv s="0">
    <fb>45910</fb>
    <v>0</v>
  </rv>
  <rv s="0">
    <fb>305.94</fb>
    <v>1</v>
  </rv>
  <rv s="0">
    <fb>45911</fb>
    <v>0</v>
  </rv>
  <rv s="0">
    <fb>308.43</fb>
    <v>1</v>
  </rv>
  <rv s="0">
    <fb>45912</fb>
    <v>0</v>
  </rv>
  <rv s="0">
    <fb>305.39999999999998</fb>
    <v>1</v>
  </rv>
  <rv s="0">
    <fb>45915</fb>
    <v>0</v>
  </rv>
  <rv s="0">
    <fb>302.07</fb>
    <v>1</v>
  </rv>
  <rv s="0">
    <fb>45916</fb>
    <v>0</v>
  </rv>
  <rv s="0">
    <fb>303.29000000000002</fb>
    <v>1</v>
  </rv>
  <rv s="0">
    <fb>45917</fb>
    <v>0</v>
  </rv>
  <rv s="0">
    <fb>304.97000000000003</fb>
    <v>1</v>
  </rv>
  <rv s="0">
    <fb>45918</fb>
    <v>0</v>
  </rv>
  <rv s="0">
    <fb>301.14</fb>
    <v>1</v>
  </rv>
  <rv s="0">
    <fb>45919</fb>
    <v>0</v>
  </rv>
  <rv s="0">
    <fb>302.38</fb>
    <v>1</v>
  </rv>
  <rv s="0">
    <fb>45922</fb>
    <v>0</v>
  </rv>
  <rv s="0">
    <fb>302.99</fb>
    <v>1</v>
  </rv>
  <rv s="0">
    <fb>45923</fb>
    <v>0</v>
  </rv>
  <rv s="0">
    <fb>303.19</fb>
    <v>1</v>
  </rv>
  <rv s="0">
    <fb>45924</fb>
    <v>0</v>
  </rv>
  <rv s="0">
    <fb>304.33</fb>
    <v>1</v>
  </rv>
  <rv s="0">
    <fb>45925</fb>
    <v>0</v>
  </rv>
  <rv s="0">
    <fb>302.3</fb>
    <v>1</v>
  </rv>
  <rv s="0">
    <fb>45926</fb>
    <v>0</v>
  </rv>
  <rv s="0">
    <fb>305.24</fb>
    <v>1</v>
  </rv>
  <rv s="0">
    <fb>45929</fb>
    <v>0</v>
  </rv>
  <rv s="0">
    <fb>45930</fb>
    <v>0</v>
  </rv>
  <rv s="0">
    <fb>303.89</fb>
    <v>1</v>
  </rv>
  <rv s="0">
    <fb>45931</fb>
    <v>0</v>
  </rv>
  <rv s="0">
    <fb>300.52</fb>
    <v>1</v>
  </rv>
  <rv s="0">
    <fb>45932</fb>
    <v>0</v>
  </rv>
  <rv s="0">
    <fb>299.88</fb>
    <v>1</v>
  </rv>
  <rv s="0">
    <fb>45933</fb>
    <v>0</v>
  </rv>
  <rv s="0">
    <fb>300.98</fb>
    <v>1</v>
  </rv>
  <rv s="0">
    <fb>45936</fb>
    <v>0</v>
  </rv>
  <rv s="0">
    <fb>296.04000000000002</fb>
    <v>1</v>
  </rv>
  <rv s="0">
    <fb>45937</fb>
    <v>0</v>
  </rv>
  <rv s="0">
    <fb>296.32</fb>
    <v>1</v>
  </rv>
  <rv s="0">
    <fb>45938</fb>
    <v>0</v>
  </rv>
  <rv s="0">
    <fb>294.39999999999998</fb>
    <v>1</v>
  </rv>
  <rv s="0">
    <fb>45939</fb>
    <v>0</v>
  </rv>
  <rv s="0">
    <fb>293.81</fb>
    <v>1</v>
  </rv>
  <rv s="0">
    <fb>45940</fb>
    <v>0</v>
  </rv>
  <rv s="0">
    <fb>297.01</fb>
    <v>1</v>
  </rv>
  <rv s="0">
    <fb>45943</fb>
    <v>0</v>
  </rv>
  <rv s="0">
    <fb>45944</fb>
    <v>0</v>
  </rv>
  <rv s="0">
    <fb>304.56</fb>
    <v>1</v>
  </rv>
  <rv s="0">
    <fb>45945</fb>
    <v>0</v>
  </rv>
  <rv s="0">
    <fb>305.25</fb>
    <v>1</v>
  </rv>
  <rv s="0">
    <fb>45946</fb>
    <v>0</v>
  </rv>
  <rv s="0">
    <fb>305.33</fb>
    <v>1</v>
  </rv>
  <rv s="0">
    <fb>45947</fb>
    <v>0</v>
  </rv>
  <rv s="0">
    <fb>308.08999999999997</fb>
    <v>1</v>
  </rv>
  <rv s="0">
    <fb>45950</fb>
    <v>0</v>
  </rv>
  <rv s="0">
    <fb>307.77</fb>
    <v>1</v>
  </rv>
  <rv s="0">
    <fb>45951</fb>
    <v>0</v>
  </rv>
  <rv s="0">
    <fb>307.48</fb>
    <v>1</v>
  </rv>
  <rv s="0">
    <fb>45952</fb>
    <v>0</v>
  </rv>
  <rv s="0">
    <fb>310.11</fb>
    <v>1</v>
  </rv>
  <rv s="0">
    <fb>45953</fb>
    <v>0</v>
  </rv>
  <rv s="0">
    <fb>306.97000000000003</fb>
    <v>1</v>
  </rv>
  <rv s="0">
    <fb>45954</fb>
    <v>0</v>
  </rv>
  <rv s="0">
    <fb>305.79000000000002</fb>
    <v>1</v>
  </rv>
  <rv s="0">
    <fb>45957</fb>
    <v>0</v>
  </rv>
  <rv s="0">
    <fb>310</fb>
    <v>1</v>
  </rv>
  <rv s="0">
    <fb>45958</fb>
    <v>0</v>
  </rv>
  <rv s="0">
    <fb>306.39999999999998</fb>
    <v>1</v>
  </rv>
  <rv s="0">
    <fb>45959</fb>
    <v>0</v>
  </rv>
  <rv s="0">
    <fb>302.35000000000002</fb>
    <v>1</v>
  </rv>
  <rv s="0">
    <fb>45960</fb>
    <v>0</v>
  </rv>
  <rv s="0">
    <fb>302.43</fb>
    <v>1</v>
  </rv>
  <rv s="0">
    <fb>45961</fb>
    <v>0</v>
  </rv>
  <rv s="0">
    <fb>298.43</fb>
    <v>1</v>
  </rv>
  <rv s="0">
    <fb>45964</fb>
    <v>0</v>
  </rv>
  <rv s="0">
    <fb>296.37</fb>
    <v>1</v>
  </rv>
  <rv s="0">
    <fb>45965</fb>
    <v>0</v>
  </rv>
  <rv s="0">
    <fb>299.20999999999998</fb>
    <v>1</v>
  </rv>
  <rv s="0">
    <fb>45966</fb>
    <v>0</v>
  </rv>
  <rv s="0">
    <fb>45967</fb>
    <v>0</v>
  </rv>
  <rv s="0">
    <fb>298.41000000000003</fb>
    <v>1</v>
  </rv>
  <rv s="0">
    <fb>45968</fb>
    <v>0</v>
  </rv>
  <rv s="0">
    <fb>299.66000000000003</fb>
    <v>1</v>
  </rv>
  <rv s="0">
    <fb>45971</fb>
    <v>0</v>
  </rv>
  <rv s="0">
    <fb>299.10000000000002</fb>
    <v>1</v>
  </rv>
  <rv s="0">
    <fb>45972</fb>
    <v>0</v>
  </rv>
  <rv s="0">
    <fb>306.83</fb>
    <v>1</v>
  </rv>
  <rv s="0">
    <fb>45973</fb>
    <v>0</v>
  </rv>
  <rv s="0">
    <fb>306.94</fb>
    <v>1</v>
  </rv>
  <rv s="0">
    <fb>45974</fb>
    <v>0</v>
  </rv>
  <rv s="0">
    <fb>307.58</fb>
    <v>1</v>
  </rv>
  <rv s="0">
    <fb>45975</fb>
    <v>0</v>
  </rv>
  <rv s="0">
    <fb>307.02999999999997</fb>
    <v>1</v>
  </rv>
  <rv s="0">
    <fb>45978</fb>
    <v>0</v>
  </rv>
  <rv s="0">
    <fb>304.89999999999998</fb>
    <v>1</v>
  </rv>
  <rv s="0">
    <fb>45979</fb>
    <v>0</v>
  </rv>
  <rv s="0">
    <fb>304.58999999999997</fb>
    <v>1</v>
  </rv>
  <rv s="0">
    <fb>45980</fb>
    <v>0</v>
  </rv>
  <rv s="0">
    <fb>302.74</fb>
    <v>1</v>
  </rv>
  <rv s="0">
    <fb>45981</fb>
    <v>0</v>
  </rv>
  <rv s="0">
    <fb>304.16000000000003</fb>
    <v>1</v>
  </rv>
  <rv s="0">
    <fb>45982</fb>
    <v>0</v>
  </rv>
  <rv s="0">
    <fb>309.35000000000002</fb>
    <v>1</v>
  </rv>
  <rv s="0">
    <fb>45985</fb>
    <v>0</v>
  </rv>
  <rv s="0">
    <fb>45986</fb>
    <v>0</v>
  </rv>
  <rv s="0">
    <fb>310.45</fb>
    <v>1</v>
  </rv>
  <rv s="0">
    <fb>45987</fb>
    <v>0</v>
  </rv>
  <rv s="0">
    <fb>312.39999999999998</fb>
    <v>1</v>
  </rv>
  <rv s="0">
    <fb>45989</fb>
    <v>0</v>
  </rv>
  <rv s="0">
    <fb>311.82</fb>
    <v>1</v>
  </rv>
  <rv s="0">
    <fb>45992</fb>
    <v>0</v>
  </rv>
  <rv s="0">
    <fb>303.57</fb>
    <v>1</v>
  </rv>
  <rv s="0">
    <fb>45993</fb>
    <v>0</v>
  </rv>
  <rv s="0">
    <fb>300.72000000000003</fb>
    <v>1</v>
  </rv>
  <rv s="0">
    <fb>45994</fb>
    <v>0</v>
  </rv>
  <rv s="0">
    <fb>307.70999999999998</fb>
    <v>1</v>
  </rv>
  <rv s="0">
    <fb>45995</fb>
    <v>0</v>
  </rv>
  <rv s="0">
    <fb>308.54000000000002</fb>
    <v>1</v>
  </rv>
  <rv s="0">
    <fb>45996</fb>
    <v>0</v>
  </rv>
  <rv s="0">
    <fb>311.23</fb>
    <v>1</v>
  </rv>
  <rv s="0">
    <fb>45999</fb>
    <v>0</v>
  </rv>
  <rv s="0">
    <fb>309.79000000000002</fb>
    <v>1</v>
  </rv>
  <rv s="0">
    <fb>46000</fb>
    <v>0</v>
  </rv>
  <rv s="0">
    <fb>310.79000000000002</fb>
    <v>1</v>
  </rv>
  <rv s="0">
    <fb>46001</fb>
    <v>0</v>
  </rv>
  <rv s="0">
    <fb>310.52999999999997</fb>
    <v>1</v>
  </rv>
  <rv s="0">
    <fb>46002</fb>
    <v>0</v>
  </rv>
  <rv s="0">
    <fb>309.70999999999998</fb>
    <v>1</v>
  </rv>
  <rv s="0">
    <fb>46003</fb>
    <v>0</v>
  </rv>
  <rv s="0">
    <fb>316.72000000000003</fb>
    <v>1</v>
  </rv>
  <rv s="0">
    <fb>46006</fb>
    <v>0</v>
  </rv>
  <rv s="0">
    <fb>318.73</fb>
    <v>1</v>
  </rv>
  <rv s="0">
    <fb>46007</fb>
    <v>0</v>
  </rv>
  <rv s="0">
    <fb>46008</fb>
    <v>0</v>
  </rv>
  <rv s="0">
    <fb>318.69</fb>
    <v>1</v>
  </rv>
  <rv s="0">
    <fb>46009</fb>
    <v>0</v>
  </rv>
  <rv s="0">
    <fb>46010</fb>
    <v>0</v>
  </rv>
  <rv s="0">
    <fb>315.83999999999997</fb>
    <v>1</v>
  </rv>
  <rv s="0">
    <fb>46013</fb>
    <v>0</v>
  </rv>
  <rv s="0">
    <fb>46014</fb>
    <v>0</v>
  </rv>
  <rv s="0">
    <fb>310.83999999999997</fb>
    <v>1</v>
  </rv>
  <rv s="0">
    <fb>46015</fb>
    <v>0</v>
  </rv>
  <rv s="0">
    <fb>313.33</fb>
    <v>1</v>
  </rv>
  <rv s="0">
    <fb>46017</fb>
    <v>0</v>
  </rv>
  <rv s="0">
    <fb>310.68</fb>
    <v>1</v>
  </rv>
  <rv s="0">
    <fb>46020</fb>
    <v>0</v>
  </rv>
  <rv s="0">
    <fb>308.52999999999997</fb>
    <v>1</v>
  </rv>
  <rv s="0">
    <fb>46021</fb>
    <v>0</v>
  </rv>
  <rv s="0">
    <fb>308.02999999999997</fb>
    <v>1</v>
  </rv>
  <rv s="0">
    <fb>46022</fb>
    <v>0</v>
  </rv>
  <rv s="0">
    <fb>305.63</fb>
    <v>1</v>
  </rv>
  <rv s="1">
    <v>2</v>
    <v>MCD</v>
    <v>Daily</v>
    <v>45658</v>
    <v>46022</v>
    <v>0</v>
    <v>1</v>
    <v>639027360000000000,639147322940774445,0</v>
    <v>0</v>
    <v>a1xdec</v>
    <v>XNYS:MCD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2286-F0F1-47D3-BF11-C0493A6DB8BA}">
  <dimension ref="A1:U132"/>
  <sheetViews>
    <sheetView showGridLines="0" tabSelected="1" workbookViewId="0">
      <selection activeCell="L116" sqref="L116"/>
    </sheetView>
  </sheetViews>
  <sheetFormatPr defaultRowHeight="15" x14ac:dyDescent="0.25"/>
  <cols>
    <col min="1" max="1" width="3.28515625" customWidth="1"/>
    <col min="2" max="2" width="3.85546875" customWidth="1"/>
    <col min="3" max="3" width="17" customWidth="1"/>
    <col min="5" max="5" width="24.28515625" customWidth="1"/>
    <col min="6" max="6" width="9.42578125" customWidth="1"/>
    <col min="8" max="9" width="9.7109375" customWidth="1"/>
    <col min="13" max="13" width="10.140625" customWidth="1"/>
  </cols>
  <sheetData>
    <row r="1" spans="1:18" s="1" customFormat="1" x14ac:dyDescent="0.25"/>
    <row r="2" spans="1:18" s="1" customFormat="1" x14ac:dyDescent="0.25"/>
    <row r="3" spans="1:18" s="1" customFormat="1" ht="24" x14ac:dyDescent="0.4">
      <c r="C3" s="3" t="s">
        <v>3</v>
      </c>
      <c r="E3" s="3"/>
    </row>
    <row r="6" spans="1:18" x14ac:dyDescent="0.25">
      <c r="A6" t="s">
        <v>10</v>
      </c>
      <c r="C6" s="2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8" spans="1:18" x14ac:dyDescent="0.25">
      <c r="C8" t="s">
        <v>12</v>
      </c>
      <c r="E8" s="111" t="s">
        <v>17</v>
      </c>
      <c r="G8" t="s">
        <v>15</v>
      </c>
      <c r="I8" s="113">
        <f ca="1">R104*I11</f>
        <v>318.9348400170781</v>
      </c>
    </row>
    <row r="9" spans="1:18" x14ac:dyDescent="0.25">
      <c r="C9" t="s">
        <v>11</v>
      </c>
      <c r="E9" s="111" t="s">
        <v>18</v>
      </c>
      <c r="G9" t="s">
        <v>16</v>
      </c>
      <c r="I9" s="9">
        <f ca="1">I8/E11-1</f>
        <v>2.7330777958054719E-2</v>
      </c>
    </row>
    <row r="10" spans="1:18" x14ac:dyDescent="0.25">
      <c r="C10" t="s">
        <v>13</v>
      </c>
      <c r="E10" s="7">
        <f ca="1">TODAY()</f>
        <v>46160</v>
      </c>
    </row>
    <row r="11" spans="1:18" x14ac:dyDescent="0.25">
      <c r="C11" t="s">
        <v>14</v>
      </c>
      <c r="E11" s="8">
        <v>310.45</v>
      </c>
      <c r="G11" t="s">
        <v>237</v>
      </c>
      <c r="I11" s="112">
        <v>1.18</v>
      </c>
    </row>
    <row r="15" spans="1:18" x14ac:dyDescent="0.25">
      <c r="C15" s="2" t="s">
        <v>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7" spans="1:21" x14ac:dyDescent="0.25">
      <c r="C17" s="11" t="s">
        <v>19</v>
      </c>
      <c r="G17" s="11" t="s">
        <v>118</v>
      </c>
      <c r="J17" s="11" t="s">
        <v>20</v>
      </c>
      <c r="K17" s="11" t="s">
        <v>21</v>
      </c>
      <c r="L17" s="11"/>
      <c r="M17" s="11" t="s">
        <v>22</v>
      </c>
      <c r="N17" s="11"/>
      <c r="O17" s="11" t="s">
        <v>20</v>
      </c>
      <c r="P17" s="11" t="s">
        <v>23</v>
      </c>
      <c r="Q17" s="11"/>
      <c r="R17" s="11" t="s">
        <v>24</v>
      </c>
      <c r="T17" s="11" t="s">
        <v>20</v>
      </c>
      <c r="U17" s="11" t="s">
        <v>23</v>
      </c>
    </row>
    <row r="18" spans="1:21" x14ac:dyDescent="0.25">
      <c r="C18" t="s">
        <v>113</v>
      </c>
      <c r="E18" s="6">
        <v>1</v>
      </c>
      <c r="G18" t="s">
        <v>114</v>
      </c>
      <c r="J18" s="56" t="s">
        <v>115</v>
      </c>
      <c r="K18" s="52">
        <v>-0.2</v>
      </c>
      <c r="R18" t="s">
        <v>116</v>
      </c>
      <c r="T18" s="56" t="s">
        <v>115</v>
      </c>
      <c r="U18" s="52">
        <v>0.55000000000000004</v>
      </c>
    </row>
    <row r="19" spans="1:21" x14ac:dyDescent="0.25">
      <c r="C19" t="s">
        <v>121</v>
      </c>
      <c r="E19" s="49">
        <v>6.13E-2</v>
      </c>
      <c r="G19" t="s">
        <v>119</v>
      </c>
      <c r="J19" s="56">
        <v>25</v>
      </c>
      <c r="K19" s="52">
        <v>-0.05</v>
      </c>
      <c r="R19" t="s">
        <v>119</v>
      </c>
      <c r="T19" s="56">
        <v>25</v>
      </c>
      <c r="U19" s="52">
        <v>0</v>
      </c>
    </row>
    <row r="20" spans="1:21" x14ac:dyDescent="0.25">
      <c r="C20" t="s">
        <v>122</v>
      </c>
      <c r="E20" s="49">
        <v>2.5000000000000001E-2</v>
      </c>
      <c r="G20" t="s">
        <v>120</v>
      </c>
      <c r="J20" s="56">
        <v>30</v>
      </c>
      <c r="K20" s="52">
        <v>-0.15</v>
      </c>
      <c r="R20" t="s">
        <v>120</v>
      </c>
      <c r="T20" s="56">
        <v>30</v>
      </c>
      <c r="U20" s="52">
        <v>0.05</v>
      </c>
    </row>
    <row r="21" spans="1:21" x14ac:dyDescent="0.25">
      <c r="G21" t="s">
        <v>88</v>
      </c>
      <c r="J21" s="56">
        <v>25</v>
      </c>
      <c r="K21" s="52">
        <v>0</v>
      </c>
      <c r="R21" t="s">
        <v>88</v>
      </c>
      <c r="T21" s="56" t="s">
        <v>115</v>
      </c>
      <c r="U21" s="52">
        <v>0</v>
      </c>
    </row>
    <row r="22" spans="1:21" x14ac:dyDescent="0.25">
      <c r="G22" t="s">
        <v>121</v>
      </c>
      <c r="K22" s="52">
        <v>6.2E-2</v>
      </c>
      <c r="M22" t="s">
        <v>121</v>
      </c>
      <c r="P22" s="50">
        <v>6.13E-2</v>
      </c>
      <c r="R22" t="s">
        <v>121</v>
      </c>
      <c r="U22" s="52">
        <v>0.06</v>
      </c>
    </row>
    <row r="23" spans="1:21" x14ac:dyDescent="0.25">
      <c r="G23" t="s">
        <v>122</v>
      </c>
      <c r="K23" s="52">
        <v>2.1999999999999999E-2</v>
      </c>
      <c r="M23" t="s">
        <v>122</v>
      </c>
      <c r="P23" s="48">
        <v>2.5000000000000001E-2</v>
      </c>
      <c r="R23" t="s">
        <v>122</v>
      </c>
      <c r="U23" s="52">
        <v>2.8000000000000001E-2</v>
      </c>
    </row>
    <row r="26" spans="1:21" x14ac:dyDescent="0.25">
      <c r="A26" t="s">
        <v>10</v>
      </c>
      <c r="C26" s="2" t="s">
        <v>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8" spans="1:21" ht="17.25" x14ac:dyDescent="0.4">
      <c r="H28" s="5" t="s">
        <v>8</v>
      </c>
      <c r="I28" s="4"/>
      <c r="J28" s="4"/>
      <c r="K28" s="4"/>
      <c r="L28" s="4"/>
      <c r="M28" s="5" t="s">
        <v>9</v>
      </c>
      <c r="N28" s="4"/>
      <c r="O28" s="4"/>
      <c r="P28" s="4"/>
      <c r="Q28" s="4"/>
      <c r="R28" s="4"/>
    </row>
    <row r="29" spans="1:21" x14ac:dyDescent="0.25">
      <c r="C29" t="s">
        <v>7</v>
      </c>
      <c r="H29">
        <v>2020</v>
      </c>
      <c r="I29">
        <f t="shared" ref="I29:R29" si="0">H29+1</f>
        <v>2021</v>
      </c>
      <c r="J29">
        <f t="shared" si="0"/>
        <v>2022</v>
      </c>
      <c r="K29">
        <f t="shared" si="0"/>
        <v>2023</v>
      </c>
      <c r="L29">
        <f t="shared" si="0"/>
        <v>2024</v>
      </c>
      <c r="M29">
        <f t="shared" si="0"/>
        <v>2025</v>
      </c>
      <c r="N29">
        <f t="shared" si="0"/>
        <v>2026</v>
      </c>
      <c r="O29">
        <f t="shared" si="0"/>
        <v>2027</v>
      </c>
      <c r="P29">
        <f t="shared" si="0"/>
        <v>2028</v>
      </c>
      <c r="Q29">
        <f t="shared" si="0"/>
        <v>2029</v>
      </c>
      <c r="R29">
        <f t="shared" si="0"/>
        <v>2030</v>
      </c>
    </row>
    <row r="30" spans="1:21" x14ac:dyDescent="0.25">
      <c r="C30" t="s">
        <v>85</v>
      </c>
      <c r="D30" s="43"/>
      <c r="E30" s="43"/>
      <c r="F30" s="43"/>
      <c r="G30" s="43"/>
      <c r="H30" s="53">
        <f>IS!H11</f>
        <v>16849</v>
      </c>
      <c r="I30" s="53">
        <f>IS!I11</f>
        <v>19647</v>
      </c>
      <c r="J30" s="53">
        <f>IS!J11</f>
        <v>22058</v>
      </c>
      <c r="K30" s="53">
        <f>IS!K11</f>
        <v>23581</v>
      </c>
      <c r="L30" s="53">
        <f>IS!L11</f>
        <v>23962</v>
      </c>
      <c r="M30" s="43">
        <f t="shared" ref="M30:R30" ca="1" si="1">L30*(1+M31)</f>
        <v>24561.05</v>
      </c>
      <c r="N30" s="43">
        <f t="shared" ca="1" si="1"/>
        <v>25175.076249999998</v>
      </c>
      <c r="O30" s="43">
        <f t="shared" ca="1" si="1"/>
        <v>25804.453156249994</v>
      </c>
      <c r="P30" s="43">
        <f t="shared" ca="1" si="1"/>
        <v>26449.564485156243</v>
      </c>
      <c r="Q30" s="43">
        <f t="shared" ca="1" si="1"/>
        <v>27110.803597285147</v>
      </c>
      <c r="R30" s="43">
        <f t="shared" ca="1" si="1"/>
        <v>27788.573687217275</v>
      </c>
    </row>
    <row r="31" spans="1:21" ht="15.75" x14ac:dyDescent="0.25">
      <c r="C31" s="54" t="s">
        <v>117</v>
      </c>
      <c r="D31" s="43"/>
      <c r="E31" s="43"/>
      <c r="F31" s="43"/>
      <c r="G31" s="43"/>
      <c r="H31" s="43"/>
      <c r="I31" s="45">
        <f>I30/H30-1</f>
        <v>0.16606326784972403</v>
      </c>
      <c r="J31" s="45">
        <f>J30/I30-1</f>
        <v>0.12271593627525834</v>
      </c>
      <c r="K31" s="45">
        <f>K30/J30-1</f>
        <v>6.9045244355789182E-2</v>
      </c>
      <c r="L31" s="45">
        <f>L30/K30-1</f>
        <v>1.6157075611721305E-2</v>
      </c>
      <c r="M31" s="45">
        <f ca="1">OFFSET(M31,E18,0)</f>
        <v>2.5000000000000001E-2</v>
      </c>
      <c r="N31" s="45">
        <f ca="1">OFFSET(N31,$E$18,0)</f>
        <v>2.5000000000000001E-2</v>
      </c>
      <c r="O31" s="45">
        <f ca="1">OFFSET(O31,$E$18,0)</f>
        <v>2.5000000000000001E-2</v>
      </c>
      <c r="P31" s="45">
        <f ca="1">OFFSET(P31,$E$18,0)</f>
        <v>2.5000000000000001E-2</v>
      </c>
      <c r="Q31" s="45">
        <f ca="1">OFFSET(Q31,$E$18,0)</f>
        <v>2.5000000000000001E-2</v>
      </c>
      <c r="R31" s="45">
        <f ca="1">OFFSET(R31,$E$18,0)</f>
        <v>2.5000000000000001E-2</v>
      </c>
    </row>
    <row r="32" spans="1:21" ht="15.75" x14ac:dyDescent="0.25">
      <c r="C32" s="54" t="s">
        <v>124</v>
      </c>
      <c r="D32" s="43"/>
      <c r="E32" s="43"/>
      <c r="F32" s="43"/>
      <c r="G32" s="43"/>
      <c r="H32" s="43"/>
      <c r="I32" s="45"/>
      <c r="J32" s="45"/>
      <c r="K32" s="45"/>
      <c r="L32" s="45"/>
      <c r="M32" s="52">
        <v>2.5000000000000001E-2</v>
      </c>
      <c r="N32" s="51">
        <f t="shared" ref="N32:R34" si="2">M32</f>
        <v>2.5000000000000001E-2</v>
      </c>
      <c r="O32" s="51">
        <f t="shared" si="2"/>
        <v>2.5000000000000001E-2</v>
      </c>
      <c r="P32" s="51">
        <f t="shared" si="2"/>
        <v>2.5000000000000001E-2</v>
      </c>
      <c r="Q32" s="51">
        <f t="shared" si="2"/>
        <v>2.5000000000000001E-2</v>
      </c>
      <c r="R32" s="51">
        <f t="shared" si="2"/>
        <v>2.5000000000000001E-2</v>
      </c>
    </row>
    <row r="33" spans="3:18" ht="15.75" x14ac:dyDescent="0.25">
      <c r="C33" s="54" t="s">
        <v>125</v>
      </c>
      <c r="D33" s="43"/>
      <c r="E33" s="43"/>
      <c r="F33" s="43"/>
      <c r="G33" s="43"/>
      <c r="H33" s="43"/>
      <c r="I33" s="45"/>
      <c r="J33" s="45"/>
      <c r="K33" s="45"/>
      <c r="L33" s="45"/>
      <c r="M33" s="51">
        <f>M32*(1+K18)</f>
        <v>2.0000000000000004E-2</v>
      </c>
      <c r="N33" s="51">
        <f t="shared" si="2"/>
        <v>2.0000000000000004E-2</v>
      </c>
      <c r="O33" s="51">
        <f t="shared" si="2"/>
        <v>2.0000000000000004E-2</v>
      </c>
      <c r="P33" s="51">
        <f t="shared" si="2"/>
        <v>2.0000000000000004E-2</v>
      </c>
      <c r="Q33" s="51">
        <f t="shared" si="2"/>
        <v>2.0000000000000004E-2</v>
      </c>
      <c r="R33" s="51">
        <f t="shared" si="2"/>
        <v>2.0000000000000004E-2</v>
      </c>
    </row>
    <row r="34" spans="3:18" ht="15.75" x14ac:dyDescent="0.25">
      <c r="C34" s="54" t="s">
        <v>123</v>
      </c>
      <c r="D34" s="43"/>
      <c r="E34" s="43"/>
      <c r="F34" s="43"/>
      <c r="G34" s="43"/>
      <c r="H34" s="43"/>
      <c r="I34" s="45"/>
      <c r="J34" s="45"/>
      <c r="K34" s="45"/>
      <c r="L34" s="45"/>
      <c r="M34" s="51">
        <f>M32*(1+U18)</f>
        <v>3.8750000000000007E-2</v>
      </c>
      <c r="N34" s="51">
        <f t="shared" si="2"/>
        <v>3.8750000000000007E-2</v>
      </c>
      <c r="O34" s="51">
        <f t="shared" si="2"/>
        <v>3.8750000000000007E-2</v>
      </c>
      <c r="P34" s="51">
        <f t="shared" si="2"/>
        <v>3.8750000000000007E-2</v>
      </c>
      <c r="Q34" s="51">
        <f t="shared" si="2"/>
        <v>3.8750000000000007E-2</v>
      </c>
      <c r="R34" s="51">
        <f t="shared" si="2"/>
        <v>3.8750000000000007E-2</v>
      </c>
    </row>
    <row r="35" spans="3:18" x14ac:dyDescent="0.25"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spans="3:18" x14ac:dyDescent="0.25">
      <c r="C36" t="s">
        <v>86</v>
      </c>
      <c r="D36" s="43"/>
      <c r="E36" s="43"/>
      <c r="F36" s="43"/>
      <c r="G36" s="43"/>
      <c r="H36" s="53">
        <f>IS!H13*-1</f>
        <v>-6788</v>
      </c>
      <c r="I36" s="53">
        <f>-IS!I13</f>
        <v>-7482</v>
      </c>
      <c r="J36" s="53">
        <f>-IS!J13</f>
        <v>-7831</v>
      </c>
      <c r="K36" s="53">
        <f>-IS!K13</f>
        <v>-8419</v>
      </c>
      <c r="L36" s="53">
        <f>-IS!L13</f>
        <v>-8525</v>
      </c>
      <c r="M36" s="43">
        <f t="shared" ref="M36:R36" ca="1" si="3">M38-M30</f>
        <v>-8524.4557877930984</v>
      </c>
      <c r="N36" s="43">
        <f t="shared" ca="1" si="3"/>
        <v>-8507.4420555427569</v>
      </c>
      <c r="O36" s="43">
        <f t="shared" ca="1" si="3"/>
        <v>-8480.9475562408625</v>
      </c>
      <c r="P36" s="43">
        <f t="shared" ca="1" si="3"/>
        <v>-8692.971245146884</v>
      </c>
      <c r="Q36" s="43">
        <f t="shared" ca="1" si="3"/>
        <v>-8910.2955262755531</v>
      </c>
      <c r="R36" s="43">
        <f t="shared" ca="1" si="3"/>
        <v>-9133.0529144324428</v>
      </c>
    </row>
    <row r="37" spans="3:18" x14ac:dyDescent="0.25">
      <c r="C37" s="42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3:18" ht="15.75" x14ac:dyDescent="0.25">
      <c r="C38" s="55" t="s">
        <v>126</v>
      </c>
      <c r="D38" s="43"/>
      <c r="E38" s="43"/>
      <c r="F38" s="43"/>
      <c r="G38" s="43"/>
      <c r="H38" s="43">
        <f>H30+H36</f>
        <v>10061</v>
      </c>
      <c r="I38" s="43">
        <f>I30+I36</f>
        <v>12165</v>
      </c>
      <c r="J38" s="43">
        <f>J30+J36</f>
        <v>14227</v>
      </c>
      <c r="K38" s="43">
        <f>K30+K36</f>
        <v>15162</v>
      </c>
      <c r="L38" s="43">
        <f>L30+L36</f>
        <v>15437</v>
      </c>
      <c r="M38" s="43">
        <f t="shared" ref="M38:R38" ca="1" si="4">M30*M39</f>
        <v>16036.594212206901</v>
      </c>
      <c r="N38" s="43">
        <f t="shared" ca="1" si="4"/>
        <v>16667.634194457241</v>
      </c>
      <c r="O38" s="43">
        <f t="shared" ca="1" si="4"/>
        <v>17323.505600009132</v>
      </c>
      <c r="P38" s="43">
        <f t="shared" ca="1" si="4"/>
        <v>17756.593240009359</v>
      </c>
      <c r="Q38" s="43">
        <f t="shared" ca="1" si="4"/>
        <v>18200.508071009594</v>
      </c>
      <c r="R38" s="43">
        <f t="shared" ca="1" si="4"/>
        <v>18655.520772784832</v>
      </c>
    </row>
    <row r="39" spans="3:18" ht="15.75" x14ac:dyDescent="0.25">
      <c r="C39" s="54" t="s">
        <v>127</v>
      </c>
      <c r="D39" s="43"/>
      <c r="E39" s="43"/>
      <c r="F39" s="43"/>
      <c r="G39" s="43"/>
      <c r="H39" s="45">
        <f>H38/H30</f>
        <v>0.59712742595999757</v>
      </c>
      <c r="I39" s="45">
        <f>I38/I30</f>
        <v>0.61917850053443269</v>
      </c>
      <c r="J39" s="45">
        <f>J38/J30</f>
        <v>0.64498141263940523</v>
      </c>
      <c r="K39" s="45">
        <f>K38/K30</f>
        <v>0.64297527670582244</v>
      </c>
      <c r="L39" s="45">
        <f>L38/L30</f>
        <v>0.64422836157248975</v>
      </c>
      <c r="M39" s="45">
        <f t="shared" ref="M39:R39" ca="1" si="5">L39*(1+M40)</f>
        <v>0.65292787613749825</v>
      </c>
      <c r="N39" s="45">
        <f t="shared" ca="1" si="5"/>
        <v>0.66206886640342322</v>
      </c>
      <c r="O39" s="45">
        <f t="shared" ca="1" si="5"/>
        <v>0.67133783053307117</v>
      </c>
      <c r="P39" s="45">
        <f t="shared" ca="1" si="5"/>
        <v>0.67133783053307117</v>
      </c>
      <c r="Q39" s="45">
        <f t="shared" ca="1" si="5"/>
        <v>0.67133783053307117</v>
      </c>
      <c r="R39" s="45">
        <f t="shared" ca="1" si="5"/>
        <v>0.67133783053307117</v>
      </c>
    </row>
    <row r="40" spans="3:18" ht="15.75" x14ac:dyDescent="0.25">
      <c r="C40" s="54" t="s">
        <v>117</v>
      </c>
      <c r="D40" s="43"/>
      <c r="E40" s="43"/>
      <c r="F40" s="43"/>
      <c r="G40" s="43"/>
      <c r="H40" s="45"/>
      <c r="I40" s="50">
        <f>I39/H39-1</f>
        <v>3.6928591144484324E-2</v>
      </c>
      <c r="J40" s="50">
        <f>J39/I39-1</f>
        <v>4.1672816615404562E-2</v>
      </c>
      <c r="K40" s="50">
        <f>K39/J39-1</f>
        <v>-3.1103779027883416E-3</v>
      </c>
      <c r="L40" s="50">
        <f>L39/K39-1</f>
        <v>1.9488849914841566E-3</v>
      </c>
      <c r="M40" s="45">
        <f t="shared" ref="M40:R40" ca="1" si="6">OFFSET(M40,$E$18,0)</f>
        <v>1.3503774568033458E-2</v>
      </c>
      <c r="N40" s="45">
        <f t="shared" ca="1" si="6"/>
        <v>1.4E-2</v>
      </c>
      <c r="O40" s="45">
        <f t="shared" ca="1" si="6"/>
        <v>1.4E-2</v>
      </c>
      <c r="P40" s="45">
        <f t="shared" ca="1" si="6"/>
        <v>0</v>
      </c>
      <c r="Q40" s="45">
        <f t="shared" ca="1" si="6"/>
        <v>0</v>
      </c>
      <c r="R40" s="45">
        <f t="shared" ca="1" si="6"/>
        <v>0</v>
      </c>
    </row>
    <row r="41" spans="3:18" ht="15.75" x14ac:dyDescent="0.25">
      <c r="C41" s="54" t="s">
        <v>124</v>
      </c>
      <c r="D41" s="43"/>
      <c r="E41" s="43"/>
      <c r="F41" s="43"/>
      <c r="G41" s="43"/>
      <c r="H41" s="43"/>
      <c r="I41" s="45"/>
      <c r="J41" s="45"/>
      <c r="K41" s="45"/>
      <c r="L41" s="45"/>
      <c r="M41" s="51">
        <f>AVERAGE(J40:L40)</f>
        <v>1.3503774568033458E-2</v>
      </c>
      <c r="N41" s="51">
        <v>1.4E-2</v>
      </c>
      <c r="O41" s="51">
        <f>N41</f>
        <v>1.4E-2</v>
      </c>
      <c r="P41" s="51">
        <v>0</v>
      </c>
      <c r="Q41" s="51">
        <f t="shared" ref="Q41:R43" si="7">P41</f>
        <v>0</v>
      </c>
      <c r="R41" s="51">
        <f t="shared" si="7"/>
        <v>0</v>
      </c>
    </row>
    <row r="42" spans="3:18" ht="15.75" x14ac:dyDescent="0.25">
      <c r="C42" s="54" t="s">
        <v>125</v>
      </c>
      <c r="D42" s="43"/>
      <c r="E42" s="43"/>
      <c r="F42" s="43"/>
      <c r="G42" s="43"/>
      <c r="H42" s="43"/>
      <c r="I42" s="45"/>
      <c r="J42" s="45"/>
      <c r="K42" s="45"/>
      <c r="L42" s="45"/>
      <c r="M42" s="57">
        <f>AVERAGE(K40:L40)</f>
        <v>-5.8074645565209249E-4</v>
      </c>
      <c r="N42" s="57">
        <f>AVERAGE(K40:L40)</f>
        <v>-5.8074645565209249E-4</v>
      </c>
      <c r="O42" s="57">
        <f>N42</f>
        <v>-5.8074645565209249E-4</v>
      </c>
      <c r="P42" s="57">
        <f>O42</f>
        <v>-5.8074645565209249E-4</v>
      </c>
      <c r="Q42" s="57">
        <f t="shared" si="7"/>
        <v>-5.8074645565209249E-4</v>
      </c>
      <c r="R42" s="57">
        <f t="shared" si="7"/>
        <v>-5.8074645565209249E-4</v>
      </c>
    </row>
    <row r="43" spans="3:18" ht="15.75" x14ac:dyDescent="0.25">
      <c r="C43" s="54" t="s">
        <v>123</v>
      </c>
      <c r="D43" s="43"/>
      <c r="E43" s="43"/>
      <c r="F43" s="43"/>
      <c r="G43" s="43"/>
      <c r="H43" s="43"/>
      <c r="I43" s="45"/>
      <c r="J43" s="45"/>
      <c r="K43" s="45"/>
      <c r="L43" s="45"/>
      <c r="M43" s="57">
        <v>0.03</v>
      </c>
      <c r="N43" s="57">
        <v>0.03</v>
      </c>
      <c r="O43" s="57">
        <f>N43</f>
        <v>0.03</v>
      </c>
      <c r="P43" s="57">
        <f>O43</f>
        <v>0.03</v>
      </c>
      <c r="Q43" s="57">
        <f t="shared" si="7"/>
        <v>0.03</v>
      </c>
      <c r="R43" s="57">
        <f t="shared" si="7"/>
        <v>0.03</v>
      </c>
    </row>
    <row r="44" spans="3:18" x14ac:dyDescent="0.25"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spans="3:18" x14ac:dyDescent="0.25">
      <c r="C45" t="s">
        <v>87</v>
      </c>
      <c r="D45" s="43"/>
      <c r="E45" s="43"/>
      <c r="F45" s="43"/>
      <c r="G45" s="43"/>
      <c r="H45" s="53">
        <f>IS!H18*-1</f>
        <v>-2243</v>
      </c>
      <c r="I45" s="53">
        <f>IS!I18*-1</f>
        <v>-2316</v>
      </c>
      <c r="J45" s="53">
        <f>IS!J18*-1</f>
        <v>-2595</v>
      </c>
      <c r="K45" s="53">
        <f>IS!K18*-1</f>
        <v>-2492</v>
      </c>
      <c r="L45" s="53">
        <f>IS!L18*-1</f>
        <v>-2535</v>
      </c>
      <c r="M45" s="43">
        <f t="shared" ref="M45:R45" ca="1" si="8">M48-M38</f>
        <v>-2528.0167122068997</v>
      </c>
      <c r="N45" s="43">
        <f t="shared" ca="1" si="8"/>
        <v>-2821.3422569572413</v>
      </c>
      <c r="O45" s="43">
        <f t="shared" ca="1" si="8"/>
        <v>-2873.0118325091335</v>
      </c>
      <c r="P45" s="43">
        <f t="shared" ca="1" si="8"/>
        <v>-2944.8371283218621</v>
      </c>
      <c r="Q45" s="43">
        <f t="shared" ca="1" si="8"/>
        <v>-2476.2419845842087</v>
      </c>
      <c r="R45" s="43">
        <f t="shared" ca="1" si="8"/>
        <v>-2538.1480341988135</v>
      </c>
    </row>
    <row r="46" spans="3:18" ht="15.75" x14ac:dyDescent="0.25">
      <c r="C46" s="54" t="s">
        <v>128</v>
      </c>
      <c r="D46" s="43"/>
      <c r="E46" s="43"/>
      <c r="F46" s="43"/>
      <c r="G46" s="43"/>
      <c r="H46" s="66">
        <f>H45/H30*-1</f>
        <v>0.13312362751498605</v>
      </c>
      <c r="I46" s="66">
        <f t="shared" ref="I46:R46" si="9">I45/I30*-1</f>
        <v>0.11788059245686364</v>
      </c>
      <c r="J46" s="66">
        <f t="shared" si="9"/>
        <v>0.11764439205730347</v>
      </c>
      <c r="K46" s="66">
        <f t="shared" si="9"/>
        <v>0.10567830032653408</v>
      </c>
      <c r="L46" s="66">
        <f t="shared" si="9"/>
        <v>0.10579250479926551</v>
      </c>
      <c r="M46" s="45">
        <f t="shared" ca="1" si="9"/>
        <v>0.10292787613749818</v>
      </c>
      <c r="N46" s="45">
        <f t="shared" ca="1" si="9"/>
        <v>0.11206886640342316</v>
      </c>
      <c r="O46" s="45">
        <f t="shared" ca="1" si="9"/>
        <v>0.1113378305330711</v>
      </c>
      <c r="P46" s="45">
        <f t="shared" ca="1" si="9"/>
        <v>0.11133783053307111</v>
      </c>
      <c r="Q46" s="45">
        <f t="shared" ca="1" si="9"/>
        <v>9.1337830533071235E-2</v>
      </c>
      <c r="R46" s="45">
        <f t="shared" ca="1" si="9"/>
        <v>9.1337830533071221E-2</v>
      </c>
    </row>
    <row r="47" spans="3:18" x14ac:dyDescent="0.25"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spans="3:18" x14ac:dyDescent="0.25">
      <c r="C48" t="s">
        <v>82</v>
      </c>
      <c r="D48" s="43"/>
      <c r="E48" s="43"/>
      <c r="F48" s="43"/>
      <c r="G48" s="43"/>
      <c r="H48" s="46">
        <f>H38+H45</f>
        <v>7818</v>
      </c>
      <c r="I48" s="46">
        <f>I38+I45</f>
        <v>9849</v>
      </c>
      <c r="J48" s="46">
        <f>J38+J45</f>
        <v>11632</v>
      </c>
      <c r="K48" s="46">
        <f>K38+K45</f>
        <v>12670</v>
      </c>
      <c r="L48" s="46">
        <f>L38+L45</f>
        <v>12902</v>
      </c>
      <c r="M48" s="43">
        <f t="shared" ref="M48:R48" ca="1" si="10">M30*M49</f>
        <v>13508.577500000001</v>
      </c>
      <c r="N48" s="43">
        <f t="shared" ca="1" si="10"/>
        <v>13846.2919375</v>
      </c>
      <c r="O48" s="43">
        <f t="shared" ca="1" si="10"/>
        <v>14450.493767499998</v>
      </c>
      <c r="P48" s="43">
        <f t="shared" ca="1" si="10"/>
        <v>14811.756111687497</v>
      </c>
      <c r="Q48" s="43">
        <f t="shared" ca="1" si="10"/>
        <v>15724.266086425385</v>
      </c>
      <c r="R48" s="43">
        <f t="shared" ca="1" si="10"/>
        <v>16117.372738586018</v>
      </c>
    </row>
    <row r="49" spans="3:18" ht="15.75" x14ac:dyDescent="0.25">
      <c r="C49" s="54" t="s">
        <v>127</v>
      </c>
      <c r="D49" s="43"/>
      <c r="E49" s="43"/>
      <c r="F49" s="43"/>
      <c r="G49" s="43"/>
      <c r="H49" s="45">
        <f>H48/H30</f>
        <v>0.46400379844501155</v>
      </c>
      <c r="I49" s="45">
        <f>I48/I30</f>
        <v>0.50129790807756913</v>
      </c>
      <c r="J49" s="45">
        <f>J48/J30</f>
        <v>0.52733702058210175</v>
      </c>
      <c r="K49" s="45">
        <f>K48/K30</f>
        <v>0.53729697637928842</v>
      </c>
      <c r="L49" s="45">
        <f>L48/L30</f>
        <v>0.53843585677322425</v>
      </c>
      <c r="M49" s="45">
        <f t="shared" ref="M49:R49" ca="1" si="11">OFFSET(M49,$E$18,0)</f>
        <v>0.55000000000000004</v>
      </c>
      <c r="N49" s="45">
        <f t="shared" ca="1" si="11"/>
        <v>0.55000000000000004</v>
      </c>
      <c r="O49" s="45">
        <f t="shared" ca="1" si="11"/>
        <v>0.56000000000000005</v>
      </c>
      <c r="P49" s="45">
        <f t="shared" ca="1" si="11"/>
        <v>0.56000000000000005</v>
      </c>
      <c r="Q49" s="45">
        <f t="shared" ca="1" si="11"/>
        <v>0.57999999999999996</v>
      </c>
      <c r="R49" s="45">
        <f t="shared" ca="1" si="11"/>
        <v>0.57999999999999996</v>
      </c>
    </row>
    <row r="50" spans="3:18" ht="15.75" x14ac:dyDescent="0.25">
      <c r="C50" s="54" t="s">
        <v>124</v>
      </c>
      <c r="D50" s="43"/>
      <c r="E50" s="43"/>
      <c r="F50" s="43"/>
      <c r="G50" s="43"/>
      <c r="H50" s="43"/>
      <c r="I50" s="45"/>
      <c r="J50" s="45"/>
      <c r="K50" s="45"/>
      <c r="L50" s="45"/>
      <c r="M50" s="65">
        <v>0.55000000000000004</v>
      </c>
      <c r="N50" s="65">
        <v>0.55000000000000004</v>
      </c>
      <c r="O50" s="65">
        <v>0.56000000000000005</v>
      </c>
      <c r="P50" s="65">
        <v>0.56000000000000005</v>
      </c>
      <c r="Q50" s="65">
        <v>0.57999999999999996</v>
      </c>
      <c r="R50" s="65">
        <v>0.57999999999999996</v>
      </c>
    </row>
    <row r="51" spans="3:18" ht="15.75" x14ac:dyDescent="0.25">
      <c r="C51" s="54" t="s">
        <v>125</v>
      </c>
      <c r="D51" s="43"/>
      <c r="E51" s="43"/>
      <c r="F51" s="43"/>
      <c r="G51" s="43"/>
      <c r="H51" s="43"/>
      <c r="I51" s="45"/>
      <c r="J51" s="45"/>
      <c r="K51" s="45"/>
      <c r="L51" s="45"/>
      <c r="M51" s="47">
        <f>M50*(1+K19)</f>
        <v>0.52249999999999996</v>
      </c>
      <c r="N51" s="47">
        <f>N50*(1+K19)</f>
        <v>0.52249999999999996</v>
      </c>
      <c r="O51" s="47">
        <f>N51</f>
        <v>0.52249999999999996</v>
      </c>
      <c r="P51" s="47">
        <f>O51</f>
        <v>0.52249999999999996</v>
      </c>
      <c r="Q51" s="47">
        <f>P51</f>
        <v>0.52249999999999996</v>
      </c>
      <c r="R51" s="47">
        <f>Q51</f>
        <v>0.52249999999999996</v>
      </c>
    </row>
    <row r="52" spans="3:18" ht="15.75" x14ac:dyDescent="0.25">
      <c r="C52" s="54" t="s">
        <v>123</v>
      </c>
      <c r="D52" s="43"/>
      <c r="E52" s="43"/>
      <c r="F52" s="43"/>
      <c r="G52" s="43"/>
      <c r="H52" s="43"/>
      <c r="I52" s="45"/>
      <c r="J52" s="45"/>
      <c r="K52" s="45"/>
      <c r="L52" s="45"/>
      <c r="M52" s="47">
        <f>M50*(1+U19)</f>
        <v>0.55000000000000004</v>
      </c>
      <c r="N52" s="47">
        <f>N50*(1+U19)</f>
        <v>0.55000000000000004</v>
      </c>
      <c r="O52" s="47">
        <f>N52+(($R$52-$N$52)/($R$29-$N$29))</f>
        <v>0.56500000000000006</v>
      </c>
      <c r="P52" s="47">
        <f>O52+(($R$52-$N$52)/($R$29-$N$29))</f>
        <v>0.58000000000000007</v>
      </c>
      <c r="Q52" s="47">
        <f>P52+(($R$52-$N$52)/($R$29-$N$29))</f>
        <v>0.59500000000000008</v>
      </c>
      <c r="R52" s="47">
        <v>0.61</v>
      </c>
    </row>
    <row r="53" spans="3:18" x14ac:dyDescent="0.25">
      <c r="D53" s="43"/>
      <c r="E53" s="43"/>
      <c r="F53" s="43"/>
      <c r="G53" s="43"/>
      <c r="H53" s="43"/>
      <c r="I53" s="43"/>
      <c r="J53" s="43"/>
      <c r="K53" s="43"/>
      <c r="L53" s="43"/>
      <c r="M53" s="45"/>
      <c r="N53" s="45"/>
      <c r="O53" s="45"/>
      <c r="P53" s="45"/>
      <c r="Q53" s="45"/>
      <c r="R53" s="45"/>
    </row>
    <row r="54" spans="3:18" x14ac:dyDescent="0.25">
      <c r="C54" t="s">
        <v>88</v>
      </c>
      <c r="D54" s="43"/>
      <c r="E54" s="43"/>
      <c r="F54" s="43"/>
      <c r="G54" s="43"/>
      <c r="H54" s="53">
        <f>IS!H14*-1</f>
        <v>-1536</v>
      </c>
      <c r="I54" s="53">
        <f>IS!I14*-1</f>
        <v>-1580</v>
      </c>
      <c r="J54" s="53">
        <f>IS!J14*-1</f>
        <v>-1780</v>
      </c>
      <c r="K54" s="53">
        <f>IS!K14*-1</f>
        <v>-1830</v>
      </c>
      <c r="L54" s="53">
        <f>IS!L14*-1</f>
        <v>-1939</v>
      </c>
      <c r="M54" s="43">
        <f t="shared" ref="M54:R54" ca="1" si="12">M30*M56*-1</f>
        <v>-2005.5705615784909</v>
      </c>
      <c r="N54" s="43">
        <f t="shared" ca="1" si="12"/>
        <v>-2029.8478057483776</v>
      </c>
      <c r="O54" s="43">
        <f t="shared" ca="1" si="12"/>
        <v>-2103.8269961434398</v>
      </c>
      <c r="P54" s="43">
        <f t="shared" ca="1" si="12"/>
        <v>-2051.1496354927103</v>
      </c>
      <c r="Q54" s="43">
        <f t="shared" ca="1" si="12"/>
        <v>-1800.6913779816321</v>
      </c>
      <c r="R54" s="43">
        <f t="shared" ca="1" si="12"/>
        <v>-1770.1186117716818</v>
      </c>
    </row>
    <row r="55" spans="3:18" ht="15.75" x14ac:dyDescent="0.25">
      <c r="C55" s="54" t="s">
        <v>128</v>
      </c>
      <c r="D55" s="43"/>
      <c r="E55" s="43"/>
      <c r="F55" s="43"/>
      <c r="G55" s="43"/>
      <c r="H55" s="45">
        <f>H54/H30*-1</f>
        <v>9.1162680277761296E-2</v>
      </c>
      <c r="I55" s="45">
        <f>I54/I30*-1</f>
        <v>8.0419402453300759E-2</v>
      </c>
      <c r="J55" s="45">
        <f>J54/J30*-1</f>
        <v>8.0696345996917218E-2</v>
      </c>
      <c r="K55" s="45">
        <f>K54/K30*-1</f>
        <v>7.7604851363385782E-2</v>
      </c>
      <c r="L55" s="45">
        <f>L54/L30*-1</f>
        <v>8.0919789666972705E-2</v>
      </c>
      <c r="M55" s="45">
        <f t="shared" ref="M55:R55" ca="1" si="13">OFFSET(M55,$E$18,0)</f>
        <v>8.1656548135299226E-2</v>
      </c>
      <c r="N55" s="45">
        <f t="shared" ca="1" si="13"/>
        <v>8.0629261480325315E-2</v>
      </c>
      <c r="O55" s="45">
        <f t="shared" ca="1" si="13"/>
        <v>8.1529609769462608E-2</v>
      </c>
      <c r="P55" s="45">
        <f t="shared" ca="1" si="13"/>
        <v>7.754946727549468E-2</v>
      </c>
      <c r="Q55" s="45">
        <f t="shared" ca="1" si="13"/>
        <v>6.6419697650052387E-2</v>
      </c>
      <c r="R55" s="45">
        <f t="shared" ca="1" si="13"/>
        <v>6.3699513033514746E-2</v>
      </c>
    </row>
    <row r="56" spans="3:18" ht="15.75" x14ac:dyDescent="0.25">
      <c r="C56" s="54" t="s">
        <v>124</v>
      </c>
      <c r="D56" s="43"/>
      <c r="E56" s="43"/>
      <c r="F56" s="43"/>
      <c r="G56" s="43"/>
      <c r="H56" s="45"/>
      <c r="I56" s="45"/>
      <c r="J56" s="45"/>
      <c r="K56" s="45"/>
      <c r="L56" s="45"/>
      <c r="M56" s="68">
        <f>'Estimates IS'!H17</f>
        <v>8.1656548135299226E-2</v>
      </c>
      <c r="N56" s="68">
        <f>'Estimates IS'!I17</f>
        <v>8.0629261480325315E-2</v>
      </c>
      <c r="O56" s="68">
        <f>'Estimates IS'!J17</f>
        <v>8.1529609769462608E-2</v>
      </c>
      <c r="P56" s="68">
        <f>'Estimates IS'!K17</f>
        <v>7.754946727549468E-2</v>
      </c>
      <c r="Q56" s="68">
        <f>'Estimates IS'!L17</f>
        <v>6.6419697650052387E-2</v>
      </c>
      <c r="R56" s="68">
        <f>'Estimates IS'!M17</f>
        <v>6.3699513033514746E-2</v>
      </c>
    </row>
    <row r="57" spans="3:18" ht="15.75" x14ac:dyDescent="0.25">
      <c r="C57" s="54" t="s">
        <v>125</v>
      </c>
      <c r="D57" s="43"/>
      <c r="E57" s="43"/>
      <c r="F57" s="43"/>
      <c r="G57" s="43"/>
      <c r="H57" s="45"/>
      <c r="I57" s="45"/>
      <c r="J57" s="45"/>
      <c r="K57" s="45"/>
      <c r="L57" s="45"/>
      <c r="M57" s="57">
        <f t="shared" ref="M57:R57" si="14">M56*(1+K21)</f>
        <v>8.1656548135299226E-2</v>
      </c>
      <c r="N57" s="57">
        <f t="shared" si="14"/>
        <v>8.0629261480325315E-2</v>
      </c>
      <c r="O57" s="57">
        <f t="shared" si="14"/>
        <v>8.1529609769462608E-2</v>
      </c>
      <c r="P57" s="57">
        <f t="shared" si="14"/>
        <v>7.754946727549468E-2</v>
      </c>
      <c r="Q57" s="57">
        <f t="shared" si="14"/>
        <v>6.6419697650052387E-2</v>
      </c>
      <c r="R57" s="57">
        <f t="shared" si="14"/>
        <v>6.3699513033514746E-2</v>
      </c>
    </row>
    <row r="58" spans="3:18" ht="15.75" x14ac:dyDescent="0.25">
      <c r="C58" s="54" t="s">
        <v>123</v>
      </c>
      <c r="D58" s="43"/>
      <c r="E58" s="43"/>
      <c r="F58" s="43"/>
      <c r="G58" s="43"/>
      <c r="H58" s="45"/>
      <c r="I58" s="45"/>
      <c r="J58" s="45"/>
      <c r="K58" s="45"/>
      <c r="L58" s="45"/>
      <c r="M58" s="57">
        <f t="shared" ref="M58:R58" si="15">M56*(1+U21)</f>
        <v>8.1656548135299226E-2</v>
      </c>
      <c r="N58" s="57">
        <f t="shared" si="15"/>
        <v>8.0629261480325315E-2</v>
      </c>
      <c r="O58" s="57">
        <f t="shared" si="15"/>
        <v>8.1529609769462608E-2</v>
      </c>
      <c r="P58" s="57">
        <f t="shared" si="15"/>
        <v>7.754946727549468E-2</v>
      </c>
      <c r="Q58" s="57">
        <f t="shared" si="15"/>
        <v>6.6419697650052387E-2</v>
      </c>
      <c r="R58" s="57">
        <f t="shared" si="15"/>
        <v>6.3699513033514746E-2</v>
      </c>
    </row>
    <row r="59" spans="3:18" x14ac:dyDescent="0.25"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spans="3:18" x14ac:dyDescent="0.25">
      <c r="C60" t="s">
        <v>83</v>
      </c>
      <c r="D60" s="43"/>
      <c r="E60" s="43"/>
      <c r="F60" s="43"/>
      <c r="G60" s="43"/>
      <c r="H60" s="43">
        <f>H48+H54</f>
        <v>6282</v>
      </c>
      <c r="I60" s="43">
        <f t="shared" ref="I60:R60" si="16">I48+I54</f>
        <v>8269</v>
      </c>
      <c r="J60" s="43">
        <f t="shared" si="16"/>
        <v>9852</v>
      </c>
      <c r="K60" s="43">
        <f t="shared" si="16"/>
        <v>10840</v>
      </c>
      <c r="L60" s="43">
        <f t="shared" si="16"/>
        <v>10963</v>
      </c>
      <c r="M60" s="43">
        <f t="shared" ca="1" si="16"/>
        <v>11503.006938421509</v>
      </c>
      <c r="N60" s="43">
        <f t="shared" ca="1" si="16"/>
        <v>11816.444131751623</v>
      </c>
      <c r="O60" s="43">
        <f t="shared" ca="1" si="16"/>
        <v>12346.666771356558</v>
      </c>
      <c r="P60" s="43">
        <f t="shared" ca="1" si="16"/>
        <v>12760.606476194786</v>
      </c>
      <c r="Q60" s="43">
        <f t="shared" ca="1" si="16"/>
        <v>13923.574708443753</v>
      </c>
      <c r="R60" s="43">
        <f t="shared" ca="1" si="16"/>
        <v>14347.254126814336</v>
      </c>
    </row>
    <row r="61" spans="3:18" ht="15.75" x14ac:dyDescent="0.25">
      <c r="C61" s="54" t="s">
        <v>127</v>
      </c>
      <c r="D61" s="43"/>
      <c r="E61" s="43"/>
      <c r="F61" s="43"/>
      <c r="G61" s="43"/>
      <c r="H61" s="45">
        <f>H60/H30</f>
        <v>0.3728411181672503</v>
      </c>
      <c r="I61" s="45">
        <f>I60/I30</f>
        <v>0.42087850562426832</v>
      </c>
      <c r="J61" s="45">
        <f>J60/J30</f>
        <v>0.44664067458518453</v>
      </c>
      <c r="K61" s="45">
        <f>K60/K30</f>
        <v>0.45969212501590262</v>
      </c>
      <c r="L61" s="45">
        <f>L60/L30</f>
        <v>0.45751606710625159</v>
      </c>
      <c r="M61" s="45">
        <f t="shared" ref="M61:R61" ca="1" si="17">M60/M30</f>
        <v>0.46834345186470083</v>
      </c>
      <c r="N61" s="45">
        <f t="shared" ca="1" si="17"/>
        <v>0.46937073851967476</v>
      </c>
      <c r="O61" s="45">
        <f t="shared" ca="1" si="17"/>
        <v>0.47847039023053745</v>
      </c>
      <c r="P61" s="45">
        <f t="shared" ca="1" si="17"/>
        <v>0.48245053272450533</v>
      </c>
      <c r="Q61" s="45">
        <f t="shared" ca="1" si="17"/>
        <v>0.51358030234994767</v>
      </c>
      <c r="R61" s="45">
        <f t="shared" ca="1" si="17"/>
        <v>0.51630048696648523</v>
      </c>
    </row>
    <row r="62" spans="3:18" x14ac:dyDescent="0.25"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spans="3:18" x14ac:dyDescent="0.25">
      <c r="C63" t="s">
        <v>89</v>
      </c>
      <c r="D63" s="43"/>
      <c r="E63" s="43"/>
      <c r="F63" s="43"/>
      <c r="G63" s="43"/>
      <c r="H63" s="53">
        <f>IS!H25*-1</f>
        <v>-1075</v>
      </c>
      <c r="I63" s="53">
        <f>IS!I25*-1</f>
        <v>-1010</v>
      </c>
      <c r="J63" s="53">
        <f>IS!J25*-1</f>
        <v>-1236</v>
      </c>
      <c r="K63" s="53">
        <f>IS!K25*-1</f>
        <v>-1297</v>
      </c>
      <c r="L63" s="53">
        <f>IS!L25*-1</f>
        <v>-1435</v>
      </c>
      <c r="M63" s="43">
        <f t="shared" ref="M63:R63" ca="1" si="18">M30*M64*-1</f>
        <v>-1470.875</v>
      </c>
      <c r="N63" s="43">
        <f t="shared" ca="1" si="18"/>
        <v>-1507.6468749999999</v>
      </c>
      <c r="O63" s="43">
        <f t="shared" ca="1" si="18"/>
        <v>-1545.3380468749997</v>
      </c>
      <c r="P63" s="43">
        <f t="shared" ca="1" si="18"/>
        <v>-1583.9714980468746</v>
      </c>
      <c r="Q63" s="43">
        <f t="shared" ca="1" si="18"/>
        <v>-1623.5707854980462</v>
      </c>
      <c r="R63" s="43">
        <f t="shared" ca="1" si="18"/>
        <v>-1664.1600551354973</v>
      </c>
    </row>
    <row r="64" spans="3:18" ht="15.75" x14ac:dyDescent="0.25">
      <c r="C64" s="54" t="s">
        <v>128</v>
      </c>
      <c r="D64" s="43"/>
      <c r="E64" s="43"/>
      <c r="F64" s="43"/>
      <c r="G64" s="43"/>
      <c r="H64" s="45">
        <f>H63/H30*-1</f>
        <v>6.3802006053771732E-2</v>
      </c>
      <c r="I64" s="45">
        <f>I63/I30*-1</f>
        <v>5.1407339542932765E-2</v>
      </c>
      <c r="J64" s="45">
        <f>J63/J30*-1</f>
        <v>5.6034091939432408E-2</v>
      </c>
      <c r="K64" s="45">
        <f>K63/K30*-1</f>
        <v>5.5001908316017131E-2</v>
      </c>
      <c r="L64" s="45">
        <f>L63/L30*-1</f>
        <v>5.9886486937651279E-2</v>
      </c>
      <c r="M64" s="47">
        <f t="shared" ref="M64:R64" si="19">L64</f>
        <v>5.9886486937651279E-2</v>
      </c>
      <c r="N64" s="47">
        <f t="shared" si="19"/>
        <v>5.9886486937651279E-2</v>
      </c>
      <c r="O64" s="47">
        <f t="shared" si="19"/>
        <v>5.9886486937651279E-2</v>
      </c>
      <c r="P64" s="47">
        <f t="shared" si="19"/>
        <v>5.9886486937651279E-2</v>
      </c>
      <c r="Q64" s="47">
        <f t="shared" si="19"/>
        <v>5.9886486937651279E-2</v>
      </c>
      <c r="R64" s="47">
        <f t="shared" si="19"/>
        <v>5.9886486937651279E-2</v>
      </c>
    </row>
    <row r="65" spans="1:18" x14ac:dyDescent="0.25"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spans="1:18" x14ac:dyDescent="0.25">
      <c r="C66" t="s">
        <v>90</v>
      </c>
      <c r="D66" s="43"/>
      <c r="E66" s="43"/>
      <c r="F66" s="43"/>
      <c r="G66" s="43"/>
      <c r="H66" s="43">
        <f t="shared" ref="H66:R66" si="20">H60+H63</f>
        <v>5207</v>
      </c>
      <c r="I66" s="43">
        <f t="shared" si="20"/>
        <v>7259</v>
      </c>
      <c r="J66" s="43">
        <f t="shared" si="20"/>
        <v>8616</v>
      </c>
      <c r="K66" s="43">
        <f t="shared" si="20"/>
        <v>9543</v>
      </c>
      <c r="L66" s="43">
        <f t="shared" si="20"/>
        <v>9528</v>
      </c>
      <c r="M66" s="43">
        <f t="shared" ca="1" si="20"/>
        <v>10032.131938421509</v>
      </c>
      <c r="N66" s="43">
        <f t="shared" ca="1" si="20"/>
        <v>10308.797256751623</v>
      </c>
      <c r="O66" s="43">
        <f t="shared" ca="1" si="20"/>
        <v>10801.328724481558</v>
      </c>
      <c r="P66" s="43">
        <f t="shared" ca="1" si="20"/>
        <v>11176.634978147911</v>
      </c>
      <c r="Q66" s="43">
        <f t="shared" ca="1" si="20"/>
        <v>12300.003922945707</v>
      </c>
      <c r="R66" s="43">
        <f t="shared" ca="1" si="20"/>
        <v>12683.094071678839</v>
      </c>
    </row>
    <row r="67" spans="1:18" x14ac:dyDescent="0.25">
      <c r="C67" s="42" t="s">
        <v>91</v>
      </c>
      <c r="D67" s="43"/>
      <c r="E67" s="43"/>
      <c r="F67" s="43"/>
      <c r="G67" s="43"/>
      <c r="H67" s="45">
        <f>H66/H30</f>
        <v>0.30903911211347856</v>
      </c>
      <c r="I67" s="45">
        <f>I66/I30</f>
        <v>0.36947116608133557</v>
      </c>
      <c r="J67" s="45">
        <f>J66/J30</f>
        <v>0.3906065826457521</v>
      </c>
      <c r="K67" s="45">
        <f>K66/K30</f>
        <v>0.40469021669988547</v>
      </c>
      <c r="L67" s="45">
        <f>L66/L30</f>
        <v>0.39762958016860028</v>
      </c>
      <c r="M67" s="45">
        <f t="shared" ref="M67:R67" ca="1" si="21">M66/M30</f>
        <v>0.40845696492704953</v>
      </c>
      <c r="N67" s="45">
        <f t="shared" ca="1" si="21"/>
        <v>0.40948425158202345</v>
      </c>
      <c r="O67" s="45">
        <f t="shared" ca="1" si="21"/>
        <v>0.41858390329288614</v>
      </c>
      <c r="P67" s="45">
        <f t="shared" ca="1" si="21"/>
        <v>0.42256404578685403</v>
      </c>
      <c r="Q67" s="45">
        <f t="shared" ca="1" si="21"/>
        <v>0.45369381541229636</v>
      </c>
      <c r="R67" s="45">
        <f t="shared" ca="1" si="21"/>
        <v>0.45641400002883392</v>
      </c>
    </row>
    <row r="68" spans="1:18" x14ac:dyDescent="0.25"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spans="1:18" x14ac:dyDescent="0.25">
      <c r="C69" t="s">
        <v>109</v>
      </c>
      <c r="D69" s="43"/>
      <c r="E69" s="43"/>
      <c r="F69" s="43"/>
      <c r="G69" s="43"/>
      <c r="H69" s="53">
        <f>IS!H33*-1</f>
        <v>-1237</v>
      </c>
      <c r="I69" s="53">
        <f>IS!I33*-1</f>
        <v>-1339</v>
      </c>
      <c r="J69" s="53">
        <f>IS!J33*-1</f>
        <v>-1568</v>
      </c>
      <c r="K69" s="53">
        <f>IS!K33*-1</f>
        <v>-1899</v>
      </c>
      <c r="L69" s="53">
        <f>IS!L33*-1</f>
        <v>-1961</v>
      </c>
      <c r="M69" s="43">
        <f t="shared" ref="M69:R69" ca="1" si="22">M66*M70*-1</f>
        <v>-2024.1249859984005</v>
      </c>
      <c r="N69" s="43">
        <f t="shared" ca="1" si="22"/>
        <v>-2006.1338622833903</v>
      </c>
      <c r="O69" s="43">
        <f t="shared" ca="1" si="22"/>
        <v>-2123.8949206443253</v>
      </c>
      <c r="P69" s="43">
        <f t="shared" ca="1" si="22"/>
        <v>-2230.4304475556378</v>
      </c>
      <c r="Q69" s="43">
        <f t="shared" ca="1" si="22"/>
        <v>-2456.009035906452</v>
      </c>
      <c r="R69" s="43">
        <f t="shared" ca="1" si="22"/>
        <v>-2516.9305036863025</v>
      </c>
    </row>
    <row r="70" spans="1:18" x14ac:dyDescent="0.25">
      <c r="C70" s="42" t="s">
        <v>110</v>
      </c>
      <c r="D70" s="43"/>
      <c r="E70" s="43"/>
      <c r="F70" s="43"/>
      <c r="G70" s="43"/>
      <c r="H70" s="45">
        <f>H69/H66*-1</f>
        <v>0.23756481659304782</v>
      </c>
      <c r="I70" s="45">
        <f>I69/I66*-1</f>
        <v>0.18446066951370713</v>
      </c>
      <c r="J70" s="45">
        <f>J69/J66*-1</f>
        <v>0.18198700092850512</v>
      </c>
      <c r="K70" s="45">
        <f>K69/K66*-1</f>
        <v>0.19899402703552341</v>
      </c>
      <c r="L70" s="45">
        <f>L69/L66*-1</f>
        <v>0.20581444164567592</v>
      </c>
      <c r="M70" s="47">
        <f t="shared" ref="M70:R70" si="23">AVERAGE(H70:L70)</f>
        <v>0.20176419114329186</v>
      </c>
      <c r="N70" s="47">
        <f t="shared" si="23"/>
        <v>0.19460406605334071</v>
      </c>
      <c r="O70" s="47">
        <f t="shared" si="23"/>
        <v>0.1966327453612674</v>
      </c>
      <c r="P70" s="47">
        <f t="shared" si="23"/>
        <v>0.19956189424781984</v>
      </c>
      <c r="Q70" s="47">
        <f t="shared" si="23"/>
        <v>0.19967546769027913</v>
      </c>
      <c r="R70" s="47">
        <f t="shared" si="23"/>
        <v>0.19844767289919979</v>
      </c>
    </row>
    <row r="71" spans="1:18" x14ac:dyDescent="0.25"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spans="1:18" x14ac:dyDescent="0.25">
      <c r="C72" t="s">
        <v>70</v>
      </c>
      <c r="D72" s="43"/>
      <c r="E72" s="43"/>
      <c r="F72" s="43"/>
      <c r="G72" s="43"/>
      <c r="H72" s="46">
        <f>H66+H69</f>
        <v>3970</v>
      </c>
      <c r="I72" s="46">
        <f t="shared" ref="I72:R72" si="24">I66+I69</f>
        <v>5920</v>
      </c>
      <c r="J72" s="46">
        <f t="shared" si="24"/>
        <v>7048</v>
      </c>
      <c r="K72" s="46">
        <f t="shared" si="24"/>
        <v>7644</v>
      </c>
      <c r="L72" s="46">
        <f t="shared" si="24"/>
        <v>7567</v>
      </c>
      <c r="M72" s="46">
        <f t="shared" ca="1" si="24"/>
        <v>8008.0069524231094</v>
      </c>
      <c r="N72" s="46">
        <f t="shared" ca="1" si="24"/>
        <v>8302.6633944682326</v>
      </c>
      <c r="O72" s="46">
        <f t="shared" ca="1" si="24"/>
        <v>8677.4338038372334</v>
      </c>
      <c r="P72" s="46">
        <f t="shared" ca="1" si="24"/>
        <v>8946.2045305922729</v>
      </c>
      <c r="Q72" s="46">
        <f t="shared" ca="1" si="24"/>
        <v>9843.9948870392545</v>
      </c>
      <c r="R72" s="46">
        <f t="shared" ca="1" si="24"/>
        <v>10166.163567992537</v>
      </c>
    </row>
    <row r="73" spans="1:18" x14ac:dyDescent="0.25">
      <c r="C73" s="42" t="s">
        <v>91</v>
      </c>
      <c r="D73" s="43"/>
      <c r="E73" s="43"/>
      <c r="F73" s="43"/>
      <c r="G73" s="43"/>
      <c r="H73" s="45">
        <f>H72/H30</f>
        <v>0.23562229212416166</v>
      </c>
      <c r="I73" s="45">
        <f>I72/I30</f>
        <v>0.30131826741996232</v>
      </c>
      <c r="J73" s="45">
        <f>J72/J30</f>
        <v>0.3195212621271194</v>
      </c>
      <c r="K73" s="45">
        <f>K72/K30</f>
        <v>0.32415928077689665</v>
      </c>
      <c r="L73" s="45">
        <f>L72/L30</f>
        <v>0.3157916701443953</v>
      </c>
      <c r="M73" s="45">
        <f t="shared" ref="M73:R73" ca="1" si="25">M72/M30</f>
        <v>0.32604497578169944</v>
      </c>
      <c r="N73" s="45">
        <f t="shared" ca="1" si="25"/>
        <v>0.3297969512393526</v>
      </c>
      <c r="O73" s="45">
        <f t="shared" ca="1" si="25"/>
        <v>0.3362766012243707</v>
      </c>
      <c r="P73" s="45">
        <f t="shared" ca="1" si="25"/>
        <v>0.33823636436860693</v>
      </c>
      <c r="Q73" s="45">
        <f t="shared" ca="1" si="25"/>
        <v>0.36310229063165889</v>
      </c>
      <c r="R73" s="45">
        <f t="shared" ca="1" si="25"/>
        <v>0.36583970384449654</v>
      </c>
    </row>
    <row r="74" spans="1:18" x14ac:dyDescent="0.25"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spans="1:18" x14ac:dyDescent="0.25"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spans="1:18" x14ac:dyDescent="0.25"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spans="1:18" x14ac:dyDescent="0.25">
      <c r="A77" t="s">
        <v>10</v>
      </c>
      <c r="C77" s="2" t="s">
        <v>0</v>
      </c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</row>
    <row r="78" spans="1:18" x14ac:dyDescent="0.25"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spans="1:18" ht="17.25" x14ac:dyDescent="0.4">
      <c r="D79" s="43"/>
      <c r="E79" s="43"/>
      <c r="F79" s="43"/>
      <c r="G79" s="43"/>
      <c r="H79" s="69" t="s">
        <v>8</v>
      </c>
      <c r="I79" s="70"/>
      <c r="J79" s="70"/>
      <c r="K79" s="70"/>
      <c r="L79" s="70"/>
      <c r="M79" s="69" t="s">
        <v>9</v>
      </c>
      <c r="N79" s="70"/>
      <c r="O79" s="70"/>
      <c r="P79" s="70"/>
      <c r="Q79" s="70"/>
      <c r="R79" s="70"/>
    </row>
    <row r="80" spans="1:18" s="107" customFormat="1" x14ac:dyDescent="0.25">
      <c r="D80" s="108"/>
      <c r="E80" s="108"/>
      <c r="F80" s="108"/>
      <c r="G80" s="108"/>
      <c r="H80" s="109">
        <v>2020</v>
      </c>
      <c r="I80" s="109">
        <f>H80+1</f>
        <v>2021</v>
      </c>
      <c r="J80" s="109">
        <f t="shared" ref="J80:R80" si="26">I80+1</f>
        <v>2022</v>
      </c>
      <c r="K80" s="109">
        <f t="shared" si="26"/>
        <v>2023</v>
      </c>
      <c r="L80" s="109">
        <f t="shared" si="26"/>
        <v>2024</v>
      </c>
      <c r="M80" s="109">
        <f t="shared" si="26"/>
        <v>2025</v>
      </c>
      <c r="N80" s="109">
        <f t="shared" si="26"/>
        <v>2026</v>
      </c>
      <c r="O80" s="109">
        <f t="shared" si="26"/>
        <v>2027</v>
      </c>
      <c r="P80" s="109">
        <f t="shared" si="26"/>
        <v>2028</v>
      </c>
      <c r="Q80" s="109">
        <f t="shared" si="26"/>
        <v>2029</v>
      </c>
      <c r="R80" s="109">
        <f t="shared" si="26"/>
        <v>2030</v>
      </c>
    </row>
    <row r="81" spans="3:18" s="107" customFormat="1" x14ac:dyDescent="0.25">
      <c r="C81" s="107" t="s">
        <v>7</v>
      </c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</row>
    <row r="82" spans="3:18" x14ac:dyDescent="0.25">
      <c r="C82" t="s">
        <v>83</v>
      </c>
      <c r="D82" s="43"/>
      <c r="E82" s="43"/>
      <c r="F82" s="43"/>
      <c r="G82" s="43"/>
      <c r="H82" s="43"/>
      <c r="I82" s="43"/>
      <c r="J82" s="43"/>
      <c r="K82" s="43"/>
      <c r="L82" s="43"/>
      <c r="M82" s="43">
        <f t="shared" ref="M82:R82" ca="1" si="27">M60</f>
        <v>11503.006938421509</v>
      </c>
      <c r="N82" s="43">
        <f t="shared" ca="1" si="27"/>
        <v>11816.444131751623</v>
      </c>
      <c r="O82" s="43">
        <f t="shared" ca="1" si="27"/>
        <v>12346.666771356558</v>
      </c>
      <c r="P82" s="43">
        <f t="shared" ca="1" si="27"/>
        <v>12760.606476194786</v>
      </c>
      <c r="Q82" s="43">
        <f t="shared" ca="1" si="27"/>
        <v>13923.574708443753</v>
      </c>
      <c r="R82" s="43">
        <f t="shared" ca="1" si="27"/>
        <v>14347.254126814336</v>
      </c>
    </row>
    <row r="83" spans="3:18" x14ac:dyDescent="0.25">
      <c r="C83" t="s">
        <v>92</v>
      </c>
      <c r="D83" s="43"/>
      <c r="E83" s="43"/>
      <c r="F83" s="43"/>
      <c r="G83" s="43"/>
      <c r="H83" s="43"/>
      <c r="I83" s="43"/>
      <c r="J83" s="43"/>
      <c r="K83" s="43"/>
      <c r="L83" s="43"/>
      <c r="M83" s="45">
        <f t="shared" ref="M83:R83" si="28">(1-M70)</f>
        <v>0.79823580885670808</v>
      </c>
      <c r="N83" s="45">
        <f t="shared" si="28"/>
        <v>0.80539593394665931</v>
      </c>
      <c r="O83" s="45">
        <f t="shared" si="28"/>
        <v>0.8033672546387326</v>
      </c>
      <c r="P83" s="45">
        <f t="shared" si="28"/>
        <v>0.80043810575218011</v>
      </c>
      <c r="Q83" s="45">
        <f t="shared" si="28"/>
        <v>0.80032453230972089</v>
      </c>
      <c r="R83" s="45">
        <f t="shared" si="28"/>
        <v>0.80155232710080027</v>
      </c>
    </row>
    <row r="84" spans="3:18" x14ac:dyDescent="0.25">
      <c r="C84" s="10" t="s">
        <v>93</v>
      </c>
      <c r="D84" s="43"/>
      <c r="E84" s="43"/>
      <c r="F84" s="43"/>
      <c r="G84" s="43"/>
      <c r="H84" s="43"/>
      <c r="I84" s="43"/>
      <c r="J84" s="43"/>
      <c r="K84" s="43"/>
      <c r="L84" s="43"/>
      <c r="M84" s="46">
        <f t="shared" ref="M84:R84" ca="1" si="29">M82*M83</f>
        <v>9182.1120477752193</v>
      </c>
      <c r="N84" s="46">
        <f t="shared" ca="1" si="29"/>
        <v>9516.9160574206198</v>
      </c>
      <c r="O84" s="46">
        <f t="shared" ca="1" si="29"/>
        <v>9918.9077880439836</v>
      </c>
      <c r="P84" s="46">
        <f t="shared" ca="1" si="29"/>
        <v>10214.075676054355</v>
      </c>
      <c r="Q84" s="46">
        <f t="shared" ca="1" si="29"/>
        <v>11143.378416614705</v>
      </c>
      <c r="R84" s="46">
        <f t="shared" ca="1" si="29"/>
        <v>11500.074932854592</v>
      </c>
    </row>
    <row r="85" spans="3:18" x14ac:dyDescent="0.25">
      <c r="C85" t="s">
        <v>94</v>
      </c>
      <c r="D85" s="43"/>
      <c r="E85" s="43"/>
      <c r="F85" s="43"/>
      <c r="G85" s="43"/>
      <c r="H85" s="43"/>
      <c r="I85" s="43"/>
      <c r="J85" s="43"/>
      <c r="K85" s="43"/>
      <c r="L85" s="43"/>
      <c r="M85" s="43">
        <f t="shared" ref="M85:R85" ca="1" si="30">-M54</f>
        <v>2005.5705615784909</v>
      </c>
      <c r="N85" s="43">
        <f t="shared" ca="1" si="30"/>
        <v>2029.8478057483776</v>
      </c>
      <c r="O85" s="43">
        <f t="shared" ca="1" si="30"/>
        <v>2103.8269961434398</v>
      </c>
      <c r="P85" s="43">
        <f t="shared" ca="1" si="30"/>
        <v>2051.1496354927103</v>
      </c>
      <c r="Q85" s="43">
        <f t="shared" ca="1" si="30"/>
        <v>1800.6913779816321</v>
      </c>
      <c r="R85" s="43">
        <f t="shared" ca="1" si="30"/>
        <v>1770.1186117716818</v>
      </c>
    </row>
    <row r="86" spans="3:18" x14ac:dyDescent="0.25">
      <c r="C86" t="s">
        <v>95</v>
      </c>
      <c r="D86" s="43"/>
      <c r="E86" s="43"/>
      <c r="F86" s="43"/>
      <c r="G86" s="43"/>
      <c r="H86" s="43"/>
      <c r="I86" s="43"/>
      <c r="J86" s="43"/>
      <c r="K86" s="43"/>
      <c r="L86" s="43"/>
      <c r="M86" s="43">
        <v>-2707</v>
      </c>
      <c r="N86" s="43">
        <v>-2928</v>
      </c>
      <c r="O86" s="43">
        <v>-3261</v>
      </c>
      <c r="P86" s="43">
        <v>-3525</v>
      </c>
      <c r="Q86" s="43">
        <v>-3774</v>
      </c>
      <c r="R86" s="43">
        <v>-4041</v>
      </c>
    </row>
    <row r="87" spans="3:18" x14ac:dyDescent="0.25">
      <c r="C87" t="s">
        <v>96</v>
      </c>
      <c r="D87" s="43"/>
      <c r="E87" s="43"/>
      <c r="F87" s="43"/>
      <c r="G87" s="43"/>
      <c r="H87" s="43"/>
      <c r="I87" s="43"/>
      <c r="J87" s="43"/>
      <c r="K87" s="43"/>
      <c r="L87" s="43"/>
      <c r="M87" s="43">
        <f t="shared" ref="M87:R87" ca="1" si="31">M132</f>
        <v>36.625356153690973</v>
      </c>
      <c r="N87" s="43">
        <f t="shared" ca="1" si="31"/>
        <v>-23.48446113082764</v>
      </c>
      <c r="O87" s="43">
        <f t="shared" ca="1" si="31"/>
        <v>105.0176075368704</v>
      </c>
      <c r="P87" s="43">
        <f t="shared" ca="1" si="31"/>
        <v>57.324625480849591</v>
      </c>
      <c r="Q87" s="43">
        <f t="shared" ca="1" si="31"/>
        <v>36.000371673309019</v>
      </c>
      <c r="R87" s="43">
        <f t="shared" ca="1" si="31"/>
        <v>28.438802386021052</v>
      </c>
    </row>
    <row r="88" spans="3:18" x14ac:dyDescent="0.25">
      <c r="C88" s="10" t="s">
        <v>97</v>
      </c>
      <c r="D88" s="43"/>
      <c r="E88" s="43"/>
      <c r="F88" s="43"/>
      <c r="G88" s="43"/>
      <c r="H88" s="43"/>
      <c r="I88" s="43"/>
      <c r="J88" s="43"/>
      <c r="K88" s="43"/>
      <c r="L88" s="43"/>
      <c r="M88" s="46">
        <f t="shared" ref="M88:R88" ca="1" si="32">SUM(M84:M87)</f>
        <v>8517.3079655073998</v>
      </c>
      <c r="N88" s="46">
        <f t="shared" ca="1" si="32"/>
        <v>8595.2794020381698</v>
      </c>
      <c r="O88" s="46">
        <f t="shared" ca="1" si="32"/>
        <v>8866.7523917242943</v>
      </c>
      <c r="P88" s="46">
        <f t="shared" ca="1" si="32"/>
        <v>8797.5499370279158</v>
      </c>
      <c r="Q88" s="46">
        <f t="shared" ca="1" si="32"/>
        <v>9206.0701662696447</v>
      </c>
      <c r="R88" s="46">
        <f t="shared" ca="1" si="32"/>
        <v>9257.6323470122952</v>
      </c>
    </row>
    <row r="89" spans="3:18" x14ac:dyDescent="0.25"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spans="3:18" x14ac:dyDescent="0.25">
      <c r="C90" t="s">
        <v>98</v>
      </c>
      <c r="D90" s="43"/>
      <c r="E90" s="43"/>
      <c r="F90" s="43"/>
      <c r="G90" s="43"/>
      <c r="H90" s="43"/>
      <c r="I90" s="43"/>
      <c r="J90" s="43"/>
      <c r="K90" s="43"/>
      <c r="L90" s="43"/>
      <c r="M90" s="43">
        <v>1</v>
      </c>
      <c r="N90" s="43">
        <f t="shared" ref="N90:R91" si="33">M90+1</f>
        <v>2</v>
      </c>
      <c r="O90" s="43">
        <f t="shared" si="33"/>
        <v>3</v>
      </c>
      <c r="P90" s="43">
        <f t="shared" si="33"/>
        <v>4</v>
      </c>
      <c r="Q90" s="43">
        <f t="shared" si="33"/>
        <v>5</v>
      </c>
      <c r="R90" s="43">
        <f t="shared" si="33"/>
        <v>6</v>
      </c>
    </row>
    <row r="91" spans="3:18" x14ac:dyDescent="0.25">
      <c r="C91" t="s">
        <v>148</v>
      </c>
      <c r="D91" s="43"/>
      <c r="E91" s="43"/>
      <c r="F91" s="43"/>
      <c r="G91" s="43"/>
      <c r="H91" s="43"/>
      <c r="I91" s="43"/>
      <c r="J91" s="43"/>
      <c r="K91" s="43"/>
      <c r="L91" s="43"/>
      <c r="M91" s="71">
        <v>0.25</v>
      </c>
      <c r="N91" s="71">
        <f t="shared" si="33"/>
        <v>1.25</v>
      </c>
      <c r="O91" s="71">
        <f t="shared" si="33"/>
        <v>2.25</v>
      </c>
      <c r="P91" s="71">
        <f t="shared" si="33"/>
        <v>3.25</v>
      </c>
      <c r="Q91" s="71">
        <f t="shared" si="33"/>
        <v>4.25</v>
      </c>
      <c r="R91" s="71">
        <f t="shared" si="33"/>
        <v>5.25</v>
      </c>
    </row>
    <row r="92" spans="3:18" x14ac:dyDescent="0.25">
      <c r="C92" t="s">
        <v>99</v>
      </c>
      <c r="D92" s="43"/>
      <c r="E92" s="43"/>
      <c r="F92" s="43"/>
      <c r="G92" s="43"/>
      <c r="H92" s="43"/>
      <c r="I92" s="43"/>
      <c r="J92" s="43"/>
      <c r="K92" s="43"/>
      <c r="L92" s="43"/>
      <c r="M92" s="72">
        <f>M91*0.5</f>
        <v>0.125</v>
      </c>
      <c r="N92" s="72">
        <f>M91+0.5</f>
        <v>0.75</v>
      </c>
      <c r="O92" s="72">
        <f>N92+1</f>
        <v>1.75</v>
      </c>
      <c r="P92" s="72">
        <f>O92+1</f>
        <v>2.75</v>
      </c>
      <c r="Q92" s="72">
        <f>P92+1</f>
        <v>3.75</v>
      </c>
      <c r="R92" s="72">
        <f>Q92+1</f>
        <v>4.75</v>
      </c>
    </row>
    <row r="93" spans="3:18" x14ac:dyDescent="0.25"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spans="3:18" x14ac:dyDescent="0.25">
      <c r="C94" s="10" t="s">
        <v>100</v>
      </c>
      <c r="D94" s="43"/>
      <c r="E94" s="43"/>
      <c r="F94" s="43"/>
      <c r="G94" s="43"/>
      <c r="H94" s="43"/>
      <c r="I94" s="43"/>
      <c r="J94" s="43"/>
      <c r="K94" s="43"/>
      <c r="L94" s="43"/>
      <c r="M94" s="43">
        <f ca="1">M88/(1+WACC!C21)^M92</f>
        <v>8454.1962182201205</v>
      </c>
      <c r="N94" s="43">
        <f ca="1">N88/(1+WACC!D21)^N92</f>
        <v>8595.2794020381698</v>
      </c>
      <c r="O94" s="43">
        <f ca="1">O88/(1+WACC!E21)^O92</f>
        <v>8866.7523917242943</v>
      </c>
      <c r="P94" s="43">
        <f ca="1">P88/(1+WACC!F21)^P92</f>
        <v>8797.5499370279158</v>
      </c>
      <c r="Q94" s="43">
        <f ca="1">Q88/(1+WACC!G21)^Q92</f>
        <v>9206.0701662696447</v>
      </c>
      <c r="R94" s="43">
        <f ca="1">R88/(1+WACC!H21)^R92</f>
        <v>9257.6323470122952</v>
      </c>
    </row>
    <row r="95" spans="3:18" x14ac:dyDescent="0.25"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spans="3:18" x14ac:dyDescent="0.25">
      <c r="C96" t="s">
        <v>101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>
        <f ca="1">(R88*(1+E20))/(E19-E20)</f>
        <v>261406.97398588434</v>
      </c>
    </row>
    <row r="97" spans="1:18" x14ac:dyDescent="0.25">
      <c r="C97" s="10" t="s">
        <v>102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>
        <f ca="1">R96/(1+E19)^R92</f>
        <v>197054.28796814469</v>
      </c>
    </row>
    <row r="99" spans="1:18" x14ac:dyDescent="0.25">
      <c r="C99" s="10" t="s">
        <v>103</v>
      </c>
      <c r="R99" s="43">
        <f ca="1">SUM(M94:Q95)+R97</f>
        <v>240974.13608342485</v>
      </c>
    </row>
    <row r="100" spans="1:18" x14ac:dyDescent="0.25">
      <c r="C100" t="s">
        <v>104</v>
      </c>
      <c r="R100" s="67">
        <f>BS!L8</f>
        <v>1047.802964</v>
      </c>
    </row>
    <row r="101" spans="1:18" x14ac:dyDescent="0.25">
      <c r="C101" t="s">
        <v>105</v>
      </c>
      <c r="R101" s="43">
        <f>-WACC!C15</f>
        <v>-49552.871610000002</v>
      </c>
    </row>
    <row r="102" spans="1:18" x14ac:dyDescent="0.25">
      <c r="C102" s="10" t="s">
        <v>106</v>
      </c>
      <c r="R102" s="46">
        <f ca="1">SUM(R99:R101)</f>
        <v>192469.06743742485</v>
      </c>
    </row>
    <row r="103" spans="1:18" x14ac:dyDescent="0.25">
      <c r="C103" t="s">
        <v>107</v>
      </c>
      <c r="R103" s="71">
        <f>IS!M45</f>
        <v>712.1</v>
      </c>
    </row>
    <row r="104" spans="1:18" x14ac:dyDescent="0.25">
      <c r="C104" s="10" t="s">
        <v>108</v>
      </c>
      <c r="R104" s="110">
        <f ca="1">R102/R103</f>
        <v>270.28376272633739</v>
      </c>
    </row>
    <row r="105" spans="1:18" x14ac:dyDescent="0.25">
      <c r="C105" s="10"/>
      <c r="R105" s="110"/>
    </row>
    <row r="106" spans="1:18" x14ac:dyDescent="0.25">
      <c r="A106" t="s">
        <v>10</v>
      </c>
      <c r="C106" s="2" t="s">
        <v>284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</row>
    <row r="107" spans="1:18" x14ac:dyDescent="0.25">
      <c r="C107" s="10"/>
      <c r="R107" s="110"/>
    </row>
    <row r="108" spans="1:18" x14ac:dyDescent="0.25">
      <c r="C108" s="10" t="s">
        <v>285</v>
      </c>
      <c r="D108" s="180"/>
      <c r="E108" s="183"/>
      <c r="F108" s="191" t="s">
        <v>121</v>
      </c>
      <c r="G108" s="191"/>
      <c r="H108" s="191"/>
      <c r="I108" s="191"/>
      <c r="J108" s="191"/>
      <c r="K108" s="191"/>
      <c r="L108" s="191"/>
      <c r="R108" s="110"/>
    </row>
    <row r="109" spans="1:18" x14ac:dyDescent="0.25">
      <c r="C109" s="10"/>
      <c r="D109" s="177"/>
      <c r="E109" s="178">
        <f ca="1">R104</f>
        <v>270.28376272633739</v>
      </c>
      <c r="F109" s="179">
        <v>0.06</v>
      </c>
      <c r="G109" s="179">
        <f>F109+0.25%</f>
        <v>6.25E-2</v>
      </c>
      <c r="H109" s="179">
        <f t="shared" ref="H109:L109" si="34">G109+0.25%</f>
        <v>6.5000000000000002E-2</v>
      </c>
      <c r="I109" s="179">
        <f t="shared" si="34"/>
        <v>6.7500000000000004E-2</v>
      </c>
      <c r="J109" s="179">
        <f t="shared" si="34"/>
        <v>7.0000000000000007E-2</v>
      </c>
      <c r="K109" s="179">
        <f t="shared" si="34"/>
        <v>7.2500000000000009E-2</v>
      </c>
      <c r="L109" s="179">
        <f t="shared" si="34"/>
        <v>7.5000000000000011E-2</v>
      </c>
      <c r="R109" s="110"/>
    </row>
    <row r="110" spans="1:18" ht="15.75" x14ac:dyDescent="0.25">
      <c r="C110" s="10"/>
      <c r="D110" s="181" t="s">
        <v>122</v>
      </c>
      <c r="E110" s="182">
        <v>0.02</v>
      </c>
      <c r="F110" s="142">
        <f t="dataTable" ref="F110:L114" dt2D="1" dtr="1" r1="E19" r2="E20" ca="1"/>
        <v>244.92104367159754</v>
      </c>
      <c r="G110" s="142">
        <v>227.50273363756614</v>
      </c>
      <c r="H110" s="142">
        <v>212.05320151918261</v>
      </c>
      <c r="I110" s="142">
        <v>198.26108949066193</v>
      </c>
      <c r="J110" s="142">
        <v>185.87731982318275</v>
      </c>
      <c r="K110" s="142">
        <v>174.70026612536697</v>
      </c>
      <c r="L110" s="142">
        <v>164.56496879445447</v>
      </c>
      <c r="R110" s="110"/>
    </row>
    <row r="111" spans="1:18" x14ac:dyDescent="0.25">
      <c r="C111" s="10"/>
      <c r="D111" s="177"/>
      <c r="E111" s="182">
        <f>E110+0.25%</f>
        <v>2.2499999999999999E-2</v>
      </c>
      <c r="F111" s="142">
        <v>262.33553119703504</v>
      </c>
      <c r="G111" s="142">
        <v>242.73331604366385</v>
      </c>
      <c r="H111" s="142">
        <v>225.47270599010713</v>
      </c>
      <c r="I111" s="142">
        <v>210.16290640076448</v>
      </c>
      <c r="J111" s="142">
        <v>196.49540419776</v>
      </c>
      <c r="K111" s="142">
        <v>184.22339729783056</v>
      </c>
      <c r="L111" s="142">
        <v>173.14710135669262</v>
      </c>
      <c r="R111" s="110"/>
    </row>
    <row r="112" spans="1:18" x14ac:dyDescent="0.25">
      <c r="C112" s="10"/>
      <c r="D112" s="177"/>
      <c r="E112" s="182">
        <f t="shared" ref="E112:E114" si="35">E111+0.25%</f>
        <v>2.4999999999999998E-2</v>
      </c>
      <c r="F112" s="142">
        <v>282.23780265467792</v>
      </c>
      <c r="G112" s="142">
        <v>259.99464277057461</v>
      </c>
      <c r="H112" s="142">
        <v>240.56964851989716</v>
      </c>
      <c r="I112" s="142">
        <v>223.46493706499672</v>
      </c>
      <c r="J112" s="142">
        <v>208.29327572506801</v>
      </c>
      <c r="K112" s="142">
        <v>194.74896333055349</v>
      </c>
      <c r="L112" s="142">
        <v>182.58744717515452</v>
      </c>
      <c r="R112" s="110"/>
    </row>
    <row r="113" spans="1:18" x14ac:dyDescent="0.25">
      <c r="C113" s="10"/>
      <c r="D113" s="177"/>
      <c r="E113" s="182">
        <f t="shared" si="35"/>
        <v>2.7499999999999997E-2</v>
      </c>
      <c r="F113" s="142">
        <v>305.20196202888127</v>
      </c>
      <c r="G113" s="142">
        <v>279.72187331561554</v>
      </c>
      <c r="H113" s="142">
        <v>257.67951672032598</v>
      </c>
      <c r="I113" s="142">
        <v>238.42972156225812</v>
      </c>
      <c r="J113" s="142">
        <v>221.47913213794178</v>
      </c>
      <c r="K113" s="142">
        <v>206.4440367002457</v>
      </c>
      <c r="L113" s="142">
        <v>193.02151360608622</v>
      </c>
      <c r="R113" s="110"/>
    </row>
    <row r="114" spans="1:18" x14ac:dyDescent="0.25">
      <c r="C114" s="10"/>
      <c r="D114" s="177"/>
      <c r="E114" s="182">
        <f t="shared" si="35"/>
        <v>2.9999999999999995E-2</v>
      </c>
      <c r="F114" s="142">
        <v>331.99348129878513</v>
      </c>
      <c r="G114" s="142">
        <v>302.48406240604731</v>
      </c>
      <c r="H114" s="142">
        <v>277.23365180653025</v>
      </c>
      <c r="I114" s="142">
        <v>255.38981065915431</v>
      </c>
      <c r="J114" s="142">
        <v>236.31322060242474</v>
      </c>
      <c r="K114" s="142">
        <v>219.51500105460758</v>
      </c>
      <c r="L114" s="142">
        <v>204.61492075156585</v>
      </c>
      <c r="R114" s="110"/>
    </row>
    <row r="115" spans="1:18" x14ac:dyDescent="0.25">
      <c r="C115" s="10"/>
      <c r="R115" s="110"/>
    </row>
    <row r="116" spans="1:18" x14ac:dyDescent="0.25">
      <c r="C116" s="10"/>
      <c r="R116" s="110"/>
    </row>
    <row r="117" spans="1:18" x14ac:dyDescent="0.25">
      <c r="C117" s="10"/>
      <c r="R117" s="110"/>
    </row>
    <row r="118" spans="1:18" x14ac:dyDescent="0.25">
      <c r="C118" s="10"/>
      <c r="R118" s="110"/>
    </row>
    <row r="119" spans="1:18" x14ac:dyDescent="0.25">
      <c r="A119" t="s">
        <v>10</v>
      </c>
      <c r="C119" s="2" t="s">
        <v>150</v>
      </c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</row>
    <row r="120" spans="1:18" x14ac:dyDescent="0.25">
      <c r="A120" t="s">
        <v>149</v>
      </c>
    </row>
    <row r="121" spans="1:18" ht="15.75" x14ac:dyDescent="0.25">
      <c r="C121" s="73" t="s">
        <v>151</v>
      </c>
      <c r="G121" s="67"/>
      <c r="H121" s="67">
        <f>BS!H11</f>
        <v>1724.735406</v>
      </c>
      <c r="I121" s="67">
        <f>BS!I11</f>
        <v>1646.500198</v>
      </c>
      <c r="J121" s="67">
        <f>BS!J11</f>
        <v>1981.7287289999999</v>
      </c>
      <c r="K121" s="67">
        <f>BS!K11</f>
        <v>2252.2971779999998</v>
      </c>
      <c r="L121" s="67">
        <f>BS!L11</f>
        <v>2301.3036529999999</v>
      </c>
      <c r="M121" s="67">
        <f t="shared" ref="M121:R121" ca="1" si="36">M30*M122</f>
        <v>2296.7679789095419</v>
      </c>
      <c r="N121" s="67">
        <f t="shared" ca="1" si="36"/>
        <v>2309.6190071132232</v>
      </c>
      <c r="O121" s="67">
        <f t="shared" ca="1" si="36"/>
        <v>2408.3273096186358</v>
      </c>
      <c r="P121" s="67">
        <f t="shared" ca="1" si="36"/>
        <v>2486.9877009064294</v>
      </c>
      <c r="Q121" s="67">
        <f t="shared" ca="1" si="36"/>
        <v>2541.1068568867368</v>
      </c>
      <c r="R121" s="67">
        <f t="shared" ca="1" si="36"/>
        <v>2591.8000940320098</v>
      </c>
    </row>
    <row r="122" spans="1:18" ht="15.75" x14ac:dyDescent="0.25">
      <c r="C122" s="54" t="s">
        <v>128</v>
      </c>
      <c r="H122" s="45">
        <f>H121/H30</f>
        <v>0.10236425936257344</v>
      </c>
      <c r="I122" s="45">
        <f>I121/I30</f>
        <v>8.3804153204051504E-2</v>
      </c>
      <c r="J122" s="45">
        <f>J121/J30</f>
        <v>8.9841723138997187E-2</v>
      </c>
      <c r="K122" s="45">
        <f>K121/K30</f>
        <v>9.551321733599083E-2</v>
      </c>
      <c r="L122" s="45">
        <f>L121/L30</f>
        <v>9.6039715090560057E-2</v>
      </c>
      <c r="M122" s="47">
        <f t="shared" ref="M122:R122" si="37">AVERAGE(H122:L122)</f>
        <v>9.3512613626434621E-2</v>
      </c>
      <c r="N122" s="47">
        <f t="shared" si="37"/>
        <v>9.174228447920682E-2</v>
      </c>
      <c r="O122" s="47">
        <f t="shared" si="37"/>
        <v>9.3329910734237909E-2</v>
      </c>
      <c r="P122" s="47">
        <f t="shared" si="37"/>
        <v>9.4027548253286047E-2</v>
      </c>
      <c r="Q122" s="47">
        <f t="shared" si="37"/>
        <v>9.3730414436745096E-2</v>
      </c>
      <c r="R122" s="47">
        <f t="shared" si="37"/>
        <v>9.3268554305982104E-2</v>
      </c>
    </row>
    <row r="123" spans="1:18" ht="15.75" x14ac:dyDescent="0.25">
      <c r="C123" s="73" t="s">
        <v>152</v>
      </c>
      <c r="H123" s="67">
        <f>BS!H13</f>
        <v>41.763719999999999</v>
      </c>
      <c r="I123" s="67">
        <f>BS!I13</f>
        <v>48.892015999999998</v>
      </c>
      <c r="J123" s="67">
        <f>BS!J13</f>
        <v>48.723354</v>
      </c>
      <c r="K123" s="67">
        <f>BS!K13</f>
        <v>47.797947000000001</v>
      </c>
      <c r="L123" s="67">
        <f>BS!L13</f>
        <v>54.080153000000003</v>
      </c>
      <c r="M123" s="67">
        <f t="shared" ref="M123:R123" ca="1" si="38">M30*M124</f>
        <v>56.293856234458097</v>
      </c>
      <c r="N123" s="67">
        <f t="shared" ca="1" si="38"/>
        <v>56.761119879361551</v>
      </c>
      <c r="O123" s="67">
        <f t="shared" ca="1" si="38"/>
        <v>56.973181201941721</v>
      </c>
      <c r="P123" s="67">
        <f t="shared" ca="1" si="38"/>
        <v>58.392259106005547</v>
      </c>
      <c r="Q123" s="67">
        <f t="shared" ca="1" si="38"/>
        <v>60.831929075939634</v>
      </c>
      <c r="R123" s="67">
        <f t="shared" ca="1" si="38"/>
        <v>62.279993265396527</v>
      </c>
    </row>
    <row r="124" spans="1:18" ht="15.75" x14ac:dyDescent="0.25">
      <c r="C124" s="54" t="s">
        <v>128</v>
      </c>
      <c r="H124" s="50">
        <f>H123/H30</f>
        <v>2.4787061546679328E-3</v>
      </c>
      <c r="I124" s="50">
        <f>I123/I30</f>
        <v>2.4885232350995061E-3</v>
      </c>
      <c r="J124" s="50">
        <f>J123/J30</f>
        <v>2.2088745126484723E-3</v>
      </c>
      <c r="K124" s="50">
        <f>K123/K30</f>
        <v>2.0269686188032739E-3</v>
      </c>
      <c r="L124" s="50">
        <f>L123/L30</f>
        <v>2.2569131541607546E-3</v>
      </c>
      <c r="M124" s="48">
        <f t="shared" ref="M124:R124" si="39">AVERAGE(H124:L124)</f>
        <v>2.2919971350759882E-3</v>
      </c>
      <c r="N124" s="48">
        <f t="shared" si="39"/>
        <v>2.2546553311575991E-3</v>
      </c>
      <c r="O124" s="48">
        <f t="shared" si="39"/>
        <v>2.2078817503692178E-3</v>
      </c>
      <c r="P124" s="48">
        <f t="shared" si="39"/>
        <v>2.2076831979133669E-3</v>
      </c>
      <c r="Q124" s="48">
        <f t="shared" si="39"/>
        <v>2.2438261137353852E-3</v>
      </c>
      <c r="R124" s="48">
        <f t="shared" si="39"/>
        <v>2.2412087056503114E-3</v>
      </c>
    </row>
    <row r="125" spans="1:18" ht="15.75" x14ac:dyDescent="0.25">
      <c r="C125" s="55" t="s">
        <v>153</v>
      </c>
      <c r="H125" s="94">
        <f>H121+H123</f>
        <v>1766.4991259999999</v>
      </c>
      <c r="I125" s="94">
        <f t="shared" ref="I125:R125" si="40">I121+I123</f>
        <v>1695.392214</v>
      </c>
      <c r="J125" s="94">
        <f t="shared" si="40"/>
        <v>2030.4520829999999</v>
      </c>
      <c r="K125" s="94">
        <f t="shared" si="40"/>
        <v>2300.0951249999998</v>
      </c>
      <c r="L125" s="94">
        <f t="shared" si="40"/>
        <v>2355.3838059999998</v>
      </c>
      <c r="M125" s="94">
        <f t="shared" ca="1" si="40"/>
        <v>2353.0618351439998</v>
      </c>
      <c r="N125" s="94">
        <f t="shared" ca="1" si="40"/>
        <v>2366.3801269925848</v>
      </c>
      <c r="O125" s="94">
        <f t="shared" ca="1" si="40"/>
        <v>2465.3004908205776</v>
      </c>
      <c r="P125" s="94">
        <f t="shared" ca="1" si="40"/>
        <v>2545.3799600124348</v>
      </c>
      <c r="Q125" s="94">
        <f t="shared" ca="1" si="40"/>
        <v>2601.9387859626763</v>
      </c>
      <c r="R125" s="94">
        <f t="shared" ca="1" si="40"/>
        <v>2654.0800872974064</v>
      </c>
    </row>
    <row r="126" spans="1:18" ht="15.75" x14ac:dyDescent="0.25">
      <c r="C126" s="73"/>
    </row>
    <row r="127" spans="1:18" ht="15.75" x14ac:dyDescent="0.25">
      <c r="C127" s="73" t="s">
        <v>154</v>
      </c>
      <c r="H127" s="67">
        <f>BS!H39</f>
        <v>605.85999900000002</v>
      </c>
      <c r="I127" s="67">
        <f>BS!I39</f>
        <v>885.33240699999999</v>
      </c>
      <c r="J127" s="67">
        <f>BS!J39</f>
        <v>918.43522499999995</v>
      </c>
      <c r="K127" s="67">
        <f>BS!K39</f>
        <v>998.41581900000006</v>
      </c>
      <c r="L127" s="67">
        <f>BS!L39</f>
        <v>993.72281099999998</v>
      </c>
      <c r="M127" s="67">
        <f t="shared" ref="M127:R127" ca="1" si="41">M36*M128*-1</f>
        <v>954.775483990309</v>
      </c>
      <c r="N127" s="67">
        <f t="shared" ca="1" si="41"/>
        <v>991.57823696972162</v>
      </c>
      <c r="O127" s="67">
        <f t="shared" ca="1" si="41"/>
        <v>985.480993260844</v>
      </c>
      <c r="P127" s="67">
        <f t="shared" ca="1" si="41"/>
        <v>1008.2358369718519</v>
      </c>
      <c r="Q127" s="67">
        <f t="shared" ca="1" si="41"/>
        <v>1028.7942912487842</v>
      </c>
      <c r="R127" s="67">
        <f t="shared" ca="1" si="41"/>
        <v>1052.4967901974933</v>
      </c>
    </row>
    <row r="128" spans="1:18" ht="15.75" x14ac:dyDescent="0.25">
      <c r="C128" s="54" t="s">
        <v>155</v>
      </c>
      <c r="H128" s="45">
        <f>H127/H36*-1</f>
        <v>8.9254566735415444E-2</v>
      </c>
      <c r="I128" s="45">
        <f>I127/I36*-1</f>
        <v>0.11832830887463244</v>
      </c>
      <c r="J128" s="45">
        <f>J127/J36*-1</f>
        <v>0.11728198505937938</v>
      </c>
      <c r="K128" s="45">
        <f>K127/K36*-1</f>
        <v>0.11859078501009622</v>
      </c>
      <c r="L128" s="45">
        <f>L127/L36*-1</f>
        <v>0.11656572563049854</v>
      </c>
      <c r="M128" s="47">
        <f t="shared" ref="M128:R128" si="42">AVERAGE(H128:L128)</f>
        <v>0.11200427426200441</v>
      </c>
      <c r="N128" s="47">
        <f t="shared" si="42"/>
        <v>0.11655421576732221</v>
      </c>
      <c r="O128" s="47">
        <f t="shared" si="42"/>
        <v>0.11619939714586014</v>
      </c>
      <c r="P128" s="47">
        <f t="shared" si="42"/>
        <v>0.1159828795631563</v>
      </c>
      <c r="Q128" s="47">
        <f t="shared" si="42"/>
        <v>0.11546129847376832</v>
      </c>
      <c r="R128" s="47">
        <f t="shared" si="42"/>
        <v>0.11524041304242227</v>
      </c>
    </row>
    <row r="129" spans="3:18" ht="15.75" x14ac:dyDescent="0.25">
      <c r="C129" s="55" t="s">
        <v>156</v>
      </c>
      <c r="H129" s="94">
        <f>H127</f>
        <v>605.85999900000002</v>
      </c>
      <c r="I129" s="94">
        <f t="shared" ref="I129:R129" si="43">I127</f>
        <v>885.33240699999999</v>
      </c>
      <c r="J129" s="94">
        <f t="shared" si="43"/>
        <v>918.43522499999995</v>
      </c>
      <c r="K129" s="94">
        <f t="shared" si="43"/>
        <v>998.41581900000006</v>
      </c>
      <c r="L129" s="94">
        <f t="shared" si="43"/>
        <v>993.72281099999998</v>
      </c>
      <c r="M129" s="94">
        <f t="shared" ca="1" si="43"/>
        <v>954.775483990309</v>
      </c>
      <c r="N129" s="94">
        <f t="shared" ca="1" si="43"/>
        <v>991.57823696972162</v>
      </c>
      <c r="O129" s="94">
        <f t="shared" ca="1" si="43"/>
        <v>985.480993260844</v>
      </c>
      <c r="P129" s="94">
        <f t="shared" ca="1" si="43"/>
        <v>1008.2358369718519</v>
      </c>
      <c r="Q129" s="94">
        <f t="shared" ca="1" si="43"/>
        <v>1028.7942912487842</v>
      </c>
      <c r="R129" s="94">
        <f t="shared" ca="1" si="43"/>
        <v>1052.4967901974933</v>
      </c>
    </row>
    <row r="130" spans="3:18" ht="15.75" x14ac:dyDescent="0.25">
      <c r="C130" s="55"/>
    </row>
    <row r="131" spans="3:18" ht="15.75" x14ac:dyDescent="0.25">
      <c r="C131" s="55" t="s">
        <v>157</v>
      </c>
      <c r="H131" s="94">
        <f>H125-H129</f>
        <v>1160.6391269999999</v>
      </c>
      <c r="I131" s="94">
        <f t="shared" ref="I131:R131" si="44">I125-I129</f>
        <v>810.05980699999998</v>
      </c>
      <c r="J131" s="94">
        <f t="shared" si="44"/>
        <v>1112.016858</v>
      </c>
      <c r="K131" s="94">
        <f t="shared" si="44"/>
        <v>1301.6793059999998</v>
      </c>
      <c r="L131" s="94">
        <f t="shared" si="44"/>
        <v>1361.6609949999997</v>
      </c>
      <c r="M131" s="94">
        <f t="shared" ca="1" si="44"/>
        <v>1398.2863511536907</v>
      </c>
      <c r="N131" s="94">
        <f t="shared" ca="1" si="44"/>
        <v>1374.8018900228631</v>
      </c>
      <c r="O131" s="94">
        <f t="shared" ca="1" si="44"/>
        <v>1479.8194975597335</v>
      </c>
      <c r="P131" s="94">
        <f t="shared" ca="1" si="44"/>
        <v>1537.1441230405831</v>
      </c>
      <c r="Q131" s="94">
        <f t="shared" ca="1" si="44"/>
        <v>1573.1444947138921</v>
      </c>
      <c r="R131" s="94">
        <f t="shared" ca="1" si="44"/>
        <v>1601.5832970999131</v>
      </c>
    </row>
    <row r="132" spans="3:18" ht="15.75" x14ac:dyDescent="0.25">
      <c r="C132" s="55" t="s">
        <v>158</v>
      </c>
      <c r="I132" s="95">
        <f>I131-H131</f>
        <v>-350.57931999999994</v>
      </c>
      <c r="J132" s="95">
        <f t="shared" ref="J132:R132" si="45">J131-I131</f>
        <v>301.95705099999998</v>
      </c>
      <c r="K132" s="95">
        <f t="shared" si="45"/>
        <v>189.66244799999981</v>
      </c>
      <c r="L132" s="95">
        <f t="shared" si="45"/>
        <v>59.98168899999996</v>
      </c>
      <c r="M132" s="95">
        <f t="shared" ca="1" si="45"/>
        <v>36.625356153690973</v>
      </c>
      <c r="N132" s="95">
        <f t="shared" ca="1" si="45"/>
        <v>-23.48446113082764</v>
      </c>
      <c r="O132" s="95">
        <f t="shared" ca="1" si="45"/>
        <v>105.0176075368704</v>
      </c>
      <c r="P132" s="95">
        <f t="shared" ca="1" si="45"/>
        <v>57.324625480849591</v>
      </c>
      <c r="Q132" s="95">
        <f t="shared" ca="1" si="45"/>
        <v>36.000371673309019</v>
      </c>
      <c r="R132" s="95">
        <f t="shared" ca="1" si="45"/>
        <v>28.438802386021052</v>
      </c>
    </row>
  </sheetData>
  <mergeCells count="1">
    <mergeCell ref="F108:L108"/>
  </mergeCells>
  <conditionalFormatting sqref="F110:L114">
    <cfRule type="cellIs" dxfId="1" priority="1" operator="lessThan">
      <formula>250</formula>
    </cfRule>
    <cfRule type="cellIs" dxfId="0" priority="2" operator="greaterThan">
      <formula>400</formula>
    </cfRule>
  </conditionalFormatting>
  <dataValidations disablePrompts="1" count="1">
    <dataValidation type="list" allowBlank="1" showInputMessage="1" showErrorMessage="1" sqref="E18" xr:uid="{39C7FBB9-09AA-4C8F-ACE0-0E349C2AD3FD}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5CEC-0E59-44C2-A19B-27039C5DB75C}">
  <dimension ref="A1:I22"/>
  <sheetViews>
    <sheetView showGridLines="0" workbookViewId="0">
      <selection activeCell="O24" sqref="O24"/>
    </sheetView>
  </sheetViews>
  <sheetFormatPr defaultRowHeight="15" x14ac:dyDescent="0.25"/>
  <cols>
    <col min="1" max="1" width="4.42578125" customWidth="1"/>
    <col min="2" max="2" width="3.5703125" customWidth="1"/>
    <col min="3" max="3" width="15.140625" bestFit="1" customWidth="1"/>
    <col min="4" max="4" width="9" bestFit="1" customWidth="1"/>
    <col min="5" max="5" width="13.28515625" bestFit="1" customWidth="1"/>
    <col min="6" max="8" width="12" bestFit="1" customWidth="1"/>
    <col min="9" max="9" width="12.85546875" customWidth="1"/>
  </cols>
  <sheetData>
    <row r="1" spans="1:9" s="1" customFormat="1" x14ac:dyDescent="0.25"/>
    <row r="2" spans="1:9" s="1" customFormat="1" x14ac:dyDescent="0.25"/>
    <row r="3" spans="1:9" s="1" customFormat="1" ht="24" x14ac:dyDescent="0.4">
      <c r="B3" s="3" t="s">
        <v>281</v>
      </c>
    </row>
    <row r="6" spans="1:9" s="2" customFormat="1" x14ac:dyDescent="0.25">
      <c r="A6" s="165" t="s">
        <v>10</v>
      </c>
      <c r="B6" s="164"/>
      <c r="C6" s="2" t="s">
        <v>15</v>
      </c>
    </row>
    <row r="8" spans="1:9" ht="15.75" x14ac:dyDescent="0.25">
      <c r="C8" s="105" t="s">
        <v>282</v>
      </c>
      <c r="D8" s="166" t="s">
        <v>0</v>
      </c>
      <c r="E8" s="171" t="s">
        <v>273</v>
      </c>
      <c r="F8" s="171" t="s">
        <v>274</v>
      </c>
      <c r="G8" s="171" t="s">
        <v>275</v>
      </c>
      <c r="H8" s="171" t="s">
        <v>276</v>
      </c>
      <c r="I8" s="172" t="s">
        <v>283</v>
      </c>
    </row>
    <row r="9" spans="1:9" ht="15.75" x14ac:dyDescent="0.25">
      <c r="C9" s="169" t="s">
        <v>262</v>
      </c>
      <c r="D9" s="160">
        <v>319</v>
      </c>
      <c r="E9" s="173">
        <f>Comps!R32</f>
        <v>32.283934019079418</v>
      </c>
      <c r="F9" s="173">
        <f>Comps!S32</f>
        <v>308.23079743890486</v>
      </c>
      <c r="G9" s="173">
        <f>Comps!T32</f>
        <v>83.687265069712282</v>
      </c>
      <c r="H9" s="173">
        <f>Comps!U32</f>
        <v>556.36082167976099</v>
      </c>
      <c r="I9" s="174">
        <f ca="1">'52 Week Share Price'!G8</f>
        <v>304.56540000000001</v>
      </c>
    </row>
    <row r="10" spans="1:9" ht="15.75" x14ac:dyDescent="0.25">
      <c r="C10" s="167" t="s">
        <v>263</v>
      </c>
      <c r="E10" s="160">
        <f>Comps!R33</f>
        <v>47.40410644672842</v>
      </c>
      <c r="F10" s="160">
        <f>Comps!S33</f>
        <v>314.62320429881265</v>
      </c>
      <c r="G10" s="160">
        <f>Comps!T33</f>
        <v>101.51725594186824</v>
      </c>
      <c r="H10" s="160">
        <f>Comps!U33</f>
        <v>481.37528685880062</v>
      </c>
      <c r="I10" s="175">
        <f ca="1">'52 Week Share Price'!G9</f>
        <v>305.53999999999996</v>
      </c>
    </row>
    <row r="11" spans="1:9" ht="15.75" x14ac:dyDescent="0.25">
      <c r="C11" s="167" t="s">
        <v>264</v>
      </c>
      <c r="D11" s="160">
        <v>209</v>
      </c>
      <c r="E11" s="160">
        <f>Comps!R34</f>
        <v>-23.458141174288063</v>
      </c>
      <c r="F11" s="160">
        <f>Comps!S34</f>
        <v>226.1772606484443</v>
      </c>
      <c r="G11" s="160">
        <f>Comps!T34</f>
        <v>27.8888038546277</v>
      </c>
      <c r="H11" s="160">
        <f>Comps!U34</f>
        <v>403.00182193876896</v>
      </c>
      <c r="I11" s="175">
        <f ca="1">'52 Week Share Price'!G10</f>
        <v>299.45499999999998</v>
      </c>
    </row>
    <row r="12" spans="1:9" ht="15.75" x14ac:dyDescent="0.25">
      <c r="C12" s="168" t="s">
        <v>265</v>
      </c>
      <c r="D12" s="170">
        <v>443</v>
      </c>
      <c r="E12" s="170">
        <f>Comps!R35</f>
        <v>80.8932247923305</v>
      </c>
      <c r="F12" s="170">
        <f>Comps!S35</f>
        <v>424.20604456741501</v>
      </c>
      <c r="G12" s="170">
        <f>Comps!T35</f>
        <v>111.50935884424898</v>
      </c>
      <c r="H12" s="170">
        <f>Comps!U35</f>
        <v>491.05314895158131</v>
      </c>
      <c r="I12" s="176">
        <f ca="1">'52 Week Share Price'!G11</f>
        <v>311.39750000000004</v>
      </c>
    </row>
    <row r="14" spans="1:9" s="2" customFormat="1" x14ac:dyDescent="0.25">
      <c r="A14" s="165" t="s">
        <v>10</v>
      </c>
      <c r="B14" s="164"/>
      <c r="C14" s="2" t="s">
        <v>2</v>
      </c>
    </row>
    <row r="16" spans="1:9" x14ac:dyDescent="0.25">
      <c r="C16" s="184" t="s">
        <v>286</v>
      </c>
      <c r="D16" s="185" t="s">
        <v>288</v>
      </c>
      <c r="E16" s="185" t="s">
        <v>289</v>
      </c>
      <c r="F16" s="186" t="s">
        <v>290</v>
      </c>
    </row>
    <row r="17" spans="3:6" x14ac:dyDescent="0.25">
      <c r="C17" s="116" t="s">
        <v>0</v>
      </c>
      <c r="D17" s="160">
        <f>D11</f>
        <v>209</v>
      </c>
      <c r="E17" s="187">
        <f>F17-D17</f>
        <v>234</v>
      </c>
      <c r="F17" s="175">
        <f>D12</f>
        <v>443</v>
      </c>
    </row>
    <row r="18" spans="3:6" x14ac:dyDescent="0.25">
      <c r="C18" s="116" t="s">
        <v>287</v>
      </c>
      <c r="D18" s="160">
        <f>E11</f>
        <v>-23.458141174288063</v>
      </c>
      <c r="E18" s="187">
        <f t="shared" ref="E18:E21" si="0">F18-D18</f>
        <v>104.35136596661856</v>
      </c>
      <c r="F18" s="175">
        <f>E12</f>
        <v>80.8932247923305</v>
      </c>
    </row>
    <row r="19" spans="3:6" x14ac:dyDescent="0.25">
      <c r="C19" s="116" t="s">
        <v>245</v>
      </c>
      <c r="D19" s="187">
        <f>F11</f>
        <v>226.1772606484443</v>
      </c>
      <c r="E19" s="187">
        <f t="shared" si="0"/>
        <v>198.0287839189707</v>
      </c>
      <c r="F19" s="188">
        <f>F12</f>
        <v>424.20604456741501</v>
      </c>
    </row>
    <row r="20" spans="3:6" x14ac:dyDescent="0.25">
      <c r="C20" s="116" t="s">
        <v>246</v>
      </c>
      <c r="D20" s="187">
        <f>G11</f>
        <v>27.8888038546277</v>
      </c>
      <c r="E20" s="187">
        <f t="shared" si="0"/>
        <v>83.620554989621283</v>
      </c>
      <c r="F20" s="188">
        <f>G12</f>
        <v>111.50935884424898</v>
      </c>
    </row>
    <row r="21" spans="3:6" x14ac:dyDescent="0.25">
      <c r="C21" s="116" t="s">
        <v>247</v>
      </c>
      <c r="D21" s="187">
        <f>H11</f>
        <v>403.00182193876896</v>
      </c>
      <c r="E21" s="187">
        <f t="shared" si="0"/>
        <v>88.051327012812351</v>
      </c>
      <c r="F21" s="188">
        <f>H12</f>
        <v>491.05314895158131</v>
      </c>
    </row>
    <row r="22" spans="3:6" x14ac:dyDescent="0.25">
      <c r="C22" s="189" t="s">
        <v>283</v>
      </c>
      <c r="D22" s="170">
        <f ca="1">I11</f>
        <v>299.45499999999998</v>
      </c>
      <c r="E22" s="190">
        <f ca="1">F22-D22</f>
        <v>11.942500000000052</v>
      </c>
      <c r="F22" s="176">
        <f ca="1">I12</f>
        <v>311.39750000000004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B851-F577-4699-9A7F-77B2F8767F65}">
  <dimension ref="A6:U35"/>
  <sheetViews>
    <sheetView showGridLines="0" workbookViewId="0">
      <selection activeCell="T34" sqref="T34"/>
    </sheetView>
  </sheetViews>
  <sheetFormatPr defaultRowHeight="15" x14ac:dyDescent="0.25"/>
  <cols>
    <col min="1" max="1" width="5" customWidth="1"/>
    <col min="2" max="2" width="5.28515625" customWidth="1"/>
    <col min="3" max="3" width="22.7109375" customWidth="1"/>
    <col min="4" max="4" width="11" customWidth="1"/>
    <col min="5" max="6" width="11.5703125" customWidth="1"/>
    <col min="7" max="8" width="13.5703125" customWidth="1"/>
    <col min="9" max="9" width="11" bestFit="1" customWidth="1"/>
    <col min="10" max="10" width="13.140625" customWidth="1"/>
    <col min="11" max="11" width="11.140625" bestFit="1" customWidth="1"/>
    <col min="12" max="12" width="10.85546875" bestFit="1" customWidth="1"/>
    <col min="13" max="13" width="12.28515625" customWidth="1"/>
    <col min="14" max="14" width="12.42578125" bestFit="1" customWidth="1"/>
    <col min="15" max="15" width="10.42578125" bestFit="1" customWidth="1"/>
    <col min="16" max="16" width="10.42578125" customWidth="1"/>
    <col min="17" max="17" width="10.5703125" customWidth="1"/>
    <col min="18" max="18" width="12.140625" customWidth="1"/>
    <col min="19" max="19" width="12.7109375" customWidth="1"/>
    <col min="20" max="20" width="12.5703125" customWidth="1"/>
    <col min="21" max="21" width="13" bestFit="1" customWidth="1"/>
  </cols>
  <sheetData>
    <row r="6" spans="1:18" s="1" customFormat="1" x14ac:dyDescent="0.25">
      <c r="A6" s="114" t="s">
        <v>10</v>
      </c>
      <c r="B6" s="114"/>
      <c r="C6" s="2" t="s">
        <v>1</v>
      </c>
    </row>
    <row r="7" spans="1:18" x14ac:dyDescent="0.25">
      <c r="C7" s="42" t="s">
        <v>238</v>
      </c>
      <c r="D7" s="116"/>
    </row>
    <row r="8" spans="1:18" x14ac:dyDescent="0.25">
      <c r="C8" s="107"/>
      <c r="D8" s="130"/>
      <c r="E8" s="107"/>
      <c r="F8" s="107"/>
      <c r="G8" s="107"/>
      <c r="H8" s="107"/>
      <c r="I8" s="107"/>
      <c r="J8" s="107"/>
      <c r="K8" s="107"/>
      <c r="L8" s="107"/>
      <c r="M8" s="107"/>
      <c r="N8" s="130"/>
      <c r="O8" s="107"/>
      <c r="P8" s="107"/>
      <c r="Q8" s="107"/>
      <c r="R8" s="107"/>
    </row>
    <row r="9" spans="1:18" x14ac:dyDescent="0.25">
      <c r="C9" s="109" t="s">
        <v>239</v>
      </c>
      <c r="D9" s="130" t="s">
        <v>240</v>
      </c>
      <c r="E9" s="107" t="s">
        <v>85</v>
      </c>
      <c r="F9" s="107" t="s">
        <v>269</v>
      </c>
      <c r="G9" s="107" t="s">
        <v>82</v>
      </c>
      <c r="H9" s="107" t="s">
        <v>267</v>
      </c>
      <c r="I9" s="107" t="s">
        <v>70</v>
      </c>
      <c r="J9" s="107" t="s">
        <v>268</v>
      </c>
      <c r="K9" s="107" t="s">
        <v>241</v>
      </c>
      <c r="L9" s="107" t="s">
        <v>242</v>
      </c>
      <c r="M9" s="107" t="s">
        <v>243</v>
      </c>
      <c r="N9" s="155" t="s">
        <v>244</v>
      </c>
      <c r="O9" s="109" t="s">
        <v>245</v>
      </c>
      <c r="P9" s="109" t="s">
        <v>246</v>
      </c>
      <c r="Q9" s="109" t="s">
        <v>247</v>
      </c>
      <c r="R9" s="155" t="s">
        <v>277</v>
      </c>
    </row>
    <row r="10" spans="1:18" x14ac:dyDescent="0.25">
      <c r="C10" s="123" t="s">
        <v>248</v>
      </c>
      <c r="D10" s="132">
        <v>150000</v>
      </c>
      <c r="E10" s="133">
        <v>26.27</v>
      </c>
      <c r="F10" s="134">
        <v>1.2500000000000001E-2</v>
      </c>
      <c r="G10" s="133">
        <v>14.33</v>
      </c>
      <c r="H10" s="119">
        <f>G10/E10</f>
        <v>0.54548915112295393</v>
      </c>
      <c r="I10" s="133">
        <v>8.41</v>
      </c>
      <c r="J10" s="120">
        <f>I10/E10</f>
        <v>0.32013703844689761</v>
      </c>
      <c r="K10" s="133">
        <v>302.11</v>
      </c>
      <c r="L10" s="133">
        <v>216.86</v>
      </c>
      <c r="M10" s="133">
        <v>270.85000000000002</v>
      </c>
      <c r="N10" s="115"/>
      <c r="O10" s="115"/>
      <c r="P10" s="115"/>
      <c r="Q10" s="115"/>
      <c r="R10" s="116"/>
    </row>
    <row r="11" spans="1:18" x14ac:dyDescent="0.25">
      <c r="C11" t="s">
        <v>249</v>
      </c>
      <c r="D11" s="135">
        <v>133000</v>
      </c>
      <c r="E11" s="136">
        <v>54.44</v>
      </c>
      <c r="F11" s="137">
        <v>2.12E-2</v>
      </c>
      <c r="G11" s="136">
        <v>2.5099999999999998</v>
      </c>
      <c r="H11" s="50">
        <f>G11/E11</f>
        <v>4.6105804555473917E-2</v>
      </c>
      <c r="I11" s="136">
        <v>0.47399999999999998</v>
      </c>
      <c r="J11" s="45">
        <f>I11/E11</f>
        <v>8.7068332108743568E-3</v>
      </c>
      <c r="K11" s="136">
        <v>56.93</v>
      </c>
      <c r="L11" s="136">
        <v>19.32</v>
      </c>
      <c r="M11" s="136">
        <v>26.97</v>
      </c>
      <c r="N11" s="126">
        <f>M11/E11</f>
        <v>0.49540778839088906</v>
      </c>
      <c r="O11" s="127">
        <f>M11/G11</f>
        <v>10.745019920318725</v>
      </c>
      <c r="P11" s="127">
        <f>L11/E11</f>
        <v>0.35488611315209406</v>
      </c>
      <c r="Q11" s="127">
        <f>L11/I11</f>
        <v>40.75949367088608</v>
      </c>
      <c r="R11" s="116" t="s">
        <v>278</v>
      </c>
    </row>
    <row r="12" spans="1:18" x14ac:dyDescent="0.25">
      <c r="C12" t="s">
        <v>250</v>
      </c>
      <c r="D12" s="135">
        <v>381000</v>
      </c>
      <c r="E12" s="136">
        <v>37.18</v>
      </c>
      <c r="F12" s="137">
        <v>2.7900000000000001E-2</v>
      </c>
      <c r="G12" s="136">
        <v>4.71</v>
      </c>
      <c r="H12" s="50">
        <f>G12/E12</f>
        <v>0.12668101129639592</v>
      </c>
      <c r="I12" s="136">
        <v>1.86</v>
      </c>
      <c r="J12" s="45">
        <f>I12/E12</f>
        <v>5.0026896180742339E-2</v>
      </c>
      <c r="K12" s="136">
        <v>89.15</v>
      </c>
      <c r="L12" s="136">
        <v>96.16</v>
      </c>
      <c r="M12" s="136">
        <v>119.55</v>
      </c>
      <c r="N12" s="126">
        <f t="shared" ref="N12:N22" si="0">M12/E12</f>
        <v>3.2154384077460998</v>
      </c>
      <c r="O12" s="127">
        <f t="shared" ref="O12:O22" si="1">M12/G12</f>
        <v>25.38216560509554</v>
      </c>
      <c r="P12" s="127">
        <f t="shared" ref="P12:P22" si="2">L12/E12</f>
        <v>2.5863367401828938</v>
      </c>
      <c r="Q12" s="127">
        <f t="shared" ref="Q12:Q22" si="3">L12/I12</f>
        <v>51.698924731182792</v>
      </c>
      <c r="R12" s="116"/>
    </row>
    <row r="13" spans="1:18" x14ac:dyDescent="0.25">
      <c r="C13" t="s">
        <v>251</v>
      </c>
      <c r="D13" s="135">
        <v>130000</v>
      </c>
      <c r="E13" s="136">
        <v>11.79</v>
      </c>
      <c r="F13" s="137">
        <v>7.3099999999999998E-2</v>
      </c>
      <c r="G13" s="136">
        <v>2.2799999999999998</v>
      </c>
      <c r="H13" s="50">
        <f>G13/E13</f>
        <v>0.19338422391857507</v>
      </c>
      <c r="I13" s="136">
        <v>1.54</v>
      </c>
      <c r="J13" s="45">
        <f>I13/E13</f>
        <v>0.13061916878710772</v>
      </c>
      <c r="K13" s="136">
        <v>38.909999999999997</v>
      </c>
      <c r="L13" s="136">
        <v>52.55</v>
      </c>
      <c r="M13" s="136">
        <v>55.78</v>
      </c>
      <c r="N13" s="126">
        <f t="shared" si="0"/>
        <v>4.7311280746395257</v>
      </c>
      <c r="O13" s="127">
        <f t="shared" si="1"/>
        <v>24.464912280701757</v>
      </c>
      <c r="P13" s="127">
        <f t="shared" si="2"/>
        <v>4.4571670907548775</v>
      </c>
      <c r="Q13" s="127">
        <f t="shared" si="3"/>
        <v>34.123376623376622</v>
      </c>
      <c r="R13" s="116" t="s">
        <v>278</v>
      </c>
    </row>
    <row r="14" spans="1:18" x14ac:dyDescent="0.25">
      <c r="C14" t="s">
        <v>252</v>
      </c>
      <c r="D14" s="135">
        <v>6000</v>
      </c>
      <c r="E14" s="138"/>
      <c r="F14" s="139"/>
      <c r="G14" s="138"/>
      <c r="H14" s="121"/>
      <c r="I14" s="138"/>
      <c r="J14" s="122"/>
      <c r="K14" s="138"/>
      <c r="L14" s="138"/>
      <c r="M14" s="138"/>
      <c r="N14" s="128"/>
      <c r="O14" s="129"/>
      <c r="P14" s="129"/>
      <c r="Q14" s="129"/>
      <c r="R14" s="116"/>
    </row>
    <row r="15" spans="1:18" x14ac:dyDescent="0.25">
      <c r="C15" t="s">
        <v>253</v>
      </c>
      <c r="D15" s="135"/>
      <c r="E15" s="136">
        <v>33.36</v>
      </c>
      <c r="F15" s="137"/>
      <c r="G15" s="138"/>
      <c r="H15" s="121"/>
      <c r="I15" s="138"/>
      <c r="J15" s="122"/>
      <c r="K15" s="138"/>
      <c r="L15" s="138"/>
      <c r="M15" s="138"/>
      <c r="N15" s="128"/>
      <c r="O15" s="129"/>
      <c r="P15" s="129"/>
      <c r="Q15" s="129"/>
      <c r="R15" s="116"/>
    </row>
    <row r="16" spans="1:18" x14ac:dyDescent="0.25">
      <c r="C16" t="s">
        <v>254</v>
      </c>
      <c r="D16" s="135">
        <v>10700</v>
      </c>
      <c r="E16" s="136">
        <v>4.8499999999999996</v>
      </c>
      <c r="F16" s="137">
        <v>3.9199999999999999E-2</v>
      </c>
      <c r="G16" s="136">
        <v>1.03</v>
      </c>
      <c r="H16" s="50">
        <f>G16/E16</f>
        <v>0.21237113402061858</v>
      </c>
      <c r="I16" s="136">
        <v>0.5</v>
      </c>
      <c r="J16" s="45">
        <f>I16/E16</f>
        <v>0.10309278350515465</v>
      </c>
      <c r="K16" s="136">
        <v>412.22</v>
      </c>
      <c r="L16" s="136">
        <v>14.66</v>
      </c>
      <c r="M16" s="136">
        <v>19.59</v>
      </c>
      <c r="N16" s="126">
        <f t="shared" si="0"/>
        <v>4.0391752577319586</v>
      </c>
      <c r="O16" s="127">
        <f t="shared" si="1"/>
        <v>19.019417475728154</v>
      </c>
      <c r="P16" s="127">
        <f t="shared" si="2"/>
        <v>3.0226804123711344</v>
      </c>
      <c r="Q16" s="127">
        <f t="shared" si="3"/>
        <v>29.32</v>
      </c>
      <c r="R16" s="116" t="s">
        <v>278</v>
      </c>
    </row>
    <row r="17" spans="1:21" x14ac:dyDescent="0.25">
      <c r="C17" t="s">
        <v>255</v>
      </c>
      <c r="D17" s="135">
        <v>5046</v>
      </c>
      <c r="E17" s="136">
        <v>1.47</v>
      </c>
      <c r="F17" s="137">
        <v>-6.7500000000000004E-2</v>
      </c>
      <c r="G17" s="136">
        <v>3.4000000000000002E-2</v>
      </c>
      <c r="H17" s="50">
        <f>G17/E17</f>
        <v>2.3129251700680274E-2</v>
      </c>
      <c r="I17" s="136">
        <v>-0.08</v>
      </c>
      <c r="J17" s="45">
        <f>I17/E17</f>
        <v>-5.4421768707482998E-2</v>
      </c>
      <c r="K17" s="136">
        <v>20.420000000000002</v>
      </c>
      <c r="L17" s="136">
        <v>0.373</v>
      </c>
      <c r="M17" s="136">
        <v>3.47</v>
      </c>
      <c r="N17" s="126"/>
      <c r="O17" s="127"/>
      <c r="P17" s="127"/>
      <c r="Q17" s="127"/>
      <c r="R17" s="116"/>
    </row>
    <row r="18" spans="1:21" x14ac:dyDescent="0.25">
      <c r="C18" t="s">
        <v>256</v>
      </c>
      <c r="D18" s="135">
        <v>11400</v>
      </c>
      <c r="E18" s="136">
        <v>2.09</v>
      </c>
      <c r="F18" s="137">
        <v>-6.4000000000000003E-3</v>
      </c>
      <c r="G18" s="136">
        <v>0.17299999999999999</v>
      </c>
      <c r="H18" s="50">
        <f>G18/E18</f>
        <v>8.2775119617224877E-2</v>
      </c>
      <c r="I18" s="136">
        <v>3.7999999999999999E-2</v>
      </c>
      <c r="J18" s="45">
        <f>I18/E18</f>
        <v>1.8181818181818181E-2</v>
      </c>
      <c r="K18" s="136">
        <v>39.950000000000003</v>
      </c>
      <c r="L18" s="136">
        <v>1.58</v>
      </c>
      <c r="M18" s="136">
        <v>2.5299999999999998</v>
      </c>
      <c r="N18" s="126">
        <f t="shared" si="0"/>
        <v>1.2105263157894737</v>
      </c>
      <c r="O18" s="127">
        <f t="shared" si="1"/>
        <v>14.624277456647398</v>
      </c>
      <c r="P18" s="127">
        <f t="shared" si="2"/>
        <v>0.7559808612440192</v>
      </c>
      <c r="Q18" s="127">
        <f t="shared" si="3"/>
        <v>41.578947368421055</v>
      </c>
      <c r="R18" s="116" t="s">
        <v>278</v>
      </c>
    </row>
    <row r="19" spans="1:21" x14ac:dyDescent="0.25">
      <c r="C19" t="s">
        <v>257</v>
      </c>
      <c r="D19" s="140"/>
      <c r="E19" s="138"/>
      <c r="F19" s="139"/>
      <c r="G19" s="138"/>
      <c r="H19" s="115"/>
      <c r="I19" s="138"/>
      <c r="J19" s="115"/>
      <c r="K19" s="138"/>
      <c r="L19" s="138"/>
      <c r="M19" s="138"/>
      <c r="N19" s="128"/>
      <c r="O19" s="129"/>
      <c r="P19" s="129"/>
      <c r="Q19" s="129"/>
      <c r="R19" s="116"/>
    </row>
    <row r="20" spans="1:21" x14ac:dyDescent="0.25">
      <c r="C20" t="s">
        <v>258</v>
      </c>
      <c r="D20" s="135">
        <v>14500</v>
      </c>
      <c r="E20" s="136">
        <v>2.21</v>
      </c>
      <c r="F20" s="137">
        <v>-2.0999999999999999E-3</v>
      </c>
      <c r="G20" s="136">
        <v>0.55200000000000005</v>
      </c>
      <c r="H20" s="50">
        <f>G20/E20</f>
        <v>0.24977375565610863</v>
      </c>
      <c r="I20" s="136">
        <v>0.186</v>
      </c>
      <c r="J20" s="45">
        <f>I20/E20</f>
        <v>8.4162895927601816E-2</v>
      </c>
      <c r="K20" s="136">
        <v>8.35</v>
      </c>
      <c r="L20" s="136">
        <v>1.75</v>
      </c>
      <c r="M20" s="136">
        <v>5.55</v>
      </c>
      <c r="N20" s="126">
        <f t="shared" si="0"/>
        <v>2.5113122171945701</v>
      </c>
      <c r="O20" s="127">
        <f t="shared" si="1"/>
        <v>10.054347826086955</v>
      </c>
      <c r="P20" s="127">
        <f t="shared" si="2"/>
        <v>0.79185520361990946</v>
      </c>
      <c r="Q20" s="127">
        <f t="shared" si="3"/>
        <v>9.408602150537634</v>
      </c>
      <c r="R20" s="116"/>
    </row>
    <row r="21" spans="1:21" x14ac:dyDescent="0.25">
      <c r="C21" t="s">
        <v>259</v>
      </c>
      <c r="D21" s="140"/>
      <c r="E21" s="138"/>
      <c r="F21" s="139"/>
      <c r="G21" s="138"/>
      <c r="H21" s="115"/>
      <c r="I21" s="138"/>
      <c r="J21" s="115"/>
      <c r="K21" s="138"/>
      <c r="L21" s="138"/>
      <c r="M21" s="138"/>
      <c r="N21" s="128"/>
      <c r="O21" s="129"/>
      <c r="P21" s="129"/>
      <c r="Q21" s="129"/>
      <c r="R21" s="116"/>
    </row>
    <row r="22" spans="1:21" x14ac:dyDescent="0.25">
      <c r="C22" s="117" t="s">
        <v>260</v>
      </c>
      <c r="D22" s="132">
        <v>12826</v>
      </c>
      <c r="E22" s="133">
        <v>1.37</v>
      </c>
      <c r="F22" s="134">
        <v>0.13489999999999999</v>
      </c>
      <c r="G22" s="133">
        <v>0.17399999999999999</v>
      </c>
      <c r="H22" s="119">
        <f>G22/E22</f>
        <v>0.12700729927007298</v>
      </c>
      <c r="I22" s="133">
        <v>4.2000000000000003E-2</v>
      </c>
      <c r="J22" s="120">
        <f>I22/E22</f>
        <v>3.0656934306569343E-2</v>
      </c>
      <c r="K22" s="133">
        <v>89.6</v>
      </c>
      <c r="L22" s="133">
        <v>3.77</v>
      </c>
      <c r="M22" s="141">
        <v>4.29</v>
      </c>
      <c r="N22" s="126">
        <f t="shared" si="0"/>
        <v>3.1313868613138682</v>
      </c>
      <c r="O22" s="127">
        <f t="shared" si="1"/>
        <v>24.655172413793107</v>
      </c>
      <c r="P22" s="127">
        <f t="shared" si="2"/>
        <v>2.7518248175182478</v>
      </c>
      <c r="Q22" s="127">
        <f t="shared" si="3"/>
        <v>89.761904761904759</v>
      </c>
      <c r="R22" s="116" t="s">
        <v>278</v>
      </c>
    </row>
    <row r="23" spans="1:21" x14ac:dyDescent="0.25">
      <c r="C23" s="10" t="s">
        <v>262</v>
      </c>
      <c r="D23" s="135" cm="1">
        <f t="array" ref="D23">AVERAGE(IF($R$11:$R$22="X",D11:D22))</f>
        <v>59585.2</v>
      </c>
      <c r="E23" s="136" cm="1">
        <f t="array" ref="E23">AVERAGE(IF($R$11:$R$22="X",E11:E22))</f>
        <v>14.907999999999998</v>
      </c>
      <c r="F23" s="137" cm="1">
        <f t="array" ref="F23">AVERAGE(IF($R$11:$R$22="X",F11:F22))</f>
        <v>5.2400000000000002E-2</v>
      </c>
      <c r="G23" s="136" cm="1">
        <f t="array" ref="G23">AVERAGE(IF($R$11:$R$22="X",G11:G22))</f>
        <v>1.2334000000000001</v>
      </c>
      <c r="H23" s="50" cm="1">
        <f t="array" ref="H23">AVERAGE(IF($R$11:$R$22="X",H11:H22))</f>
        <v>0.13232871627639309</v>
      </c>
      <c r="I23" s="136" cm="1">
        <f t="array" ref="I23">AVERAGE(IF($R$11:$R$22="X",I11:I22))</f>
        <v>0.51879999999999993</v>
      </c>
      <c r="J23" s="45" cm="1">
        <f t="array" ref="J23">AVERAGE(IF($R$11:$R$22="X",J11:J22))</f>
        <v>5.8251507598304851E-2</v>
      </c>
      <c r="K23" s="136" cm="1">
        <f t="array" ref="K23">AVERAGE(IF($R$11:$R$22="X",K11:K22))</f>
        <v>127.52200000000002</v>
      </c>
      <c r="L23" s="136" cm="1">
        <f t="array" ref="L23">AVERAGE(IF($R$11:$R$22="X",L11:L22))</f>
        <v>18.375999999999998</v>
      </c>
      <c r="M23" s="136" cm="1">
        <f t="array" ref="M23">AVERAGE(IF($R$11:$R$22="X",M11:M22))</f>
        <v>21.832000000000001</v>
      </c>
      <c r="N23" s="150" cm="1">
        <f t="array" ref="N23">AVERAGE(IF($R$11:$R$22="X",N11:N22))</f>
        <v>2.7215248595731429</v>
      </c>
      <c r="O23" s="151" cm="1">
        <f t="array" ref="O23">AVERAGE(IF($R$11:$R$22="X",O11:O22))</f>
        <v>18.701759909437829</v>
      </c>
      <c r="P23" s="151" cm="1">
        <f t="array" ref="P23">AVERAGE(IF($R$11:$R$22="X",P11:P22))</f>
        <v>2.2685078590080745</v>
      </c>
      <c r="Q23" s="152" cm="1">
        <f t="array" ref="Q23">AVERAGE(IF($R$11:$R$22="X",Q11:Q22))</f>
        <v>47.1087444849177</v>
      </c>
      <c r="R23" s="116"/>
    </row>
    <row r="24" spans="1:21" x14ac:dyDescent="0.25">
      <c r="C24" s="10" t="s">
        <v>263</v>
      </c>
      <c r="D24" s="135" cm="1">
        <f t="array" ref="D24">MEDIAN(IF($R$11:$R$22="X",D11:D22))</f>
        <v>12826</v>
      </c>
      <c r="E24" s="136" cm="1">
        <f t="array" ref="E24">MEDIAN(IF($R$11:$R$22="X",E11:E22))</f>
        <v>4.8499999999999996</v>
      </c>
      <c r="F24" s="137" cm="1">
        <f t="array" ref="F24">MEDIAN(IF($R$11:$R$22="X",F11:F22))</f>
        <v>3.9199999999999999E-2</v>
      </c>
      <c r="G24" s="136" cm="1">
        <f t="array" ref="G24">MEDIAN(IF($R$11:$R$22="X",G11:G22))</f>
        <v>1.03</v>
      </c>
      <c r="H24" s="50" cm="1">
        <f t="array" ref="H24">MEDIAN(IF($R$11:$R$22="X",H11:H22))</f>
        <v>0.12700729927007298</v>
      </c>
      <c r="I24" s="136" cm="1">
        <f t="array" ref="I24">MEDIAN(IF($R$11:$R$22="X",I11:I22))</f>
        <v>0.47399999999999998</v>
      </c>
      <c r="J24" s="45" cm="1">
        <f t="array" ref="J24">MEDIAN(IF($R$11:$R$22="X",J11:J22))</f>
        <v>3.0656934306569343E-2</v>
      </c>
      <c r="K24" s="136" cm="1">
        <f t="array" ref="K24">MEDIAN(IF($R$11:$R$22="X",K11:K22))</f>
        <v>56.93</v>
      </c>
      <c r="L24" s="136" cm="1">
        <f t="array" ref="L24">MEDIAN(IF($R$11:$R$22="X",L11:L22))</f>
        <v>14.66</v>
      </c>
      <c r="M24" s="136" cm="1">
        <f t="array" ref="M24">MEDIAN(IF($R$11:$R$22="X",M11:M22))</f>
        <v>19.59</v>
      </c>
      <c r="N24" s="126" cm="1">
        <f t="array" ref="N24">MEDIAN(IF($R$11:$R$22="X",N11:N22))</f>
        <v>3.1313868613138682</v>
      </c>
      <c r="O24" s="127" cm="1">
        <f t="array" ref="O24">MEDIAN(IF($R$11:$R$22="X",O11:O22))</f>
        <v>19.019417475728154</v>
      </c>
      <c r="P24" s="127" cm="1">
        <f t="array" ref="P24">MEDIAN(IF($R$11:$R$22="X",P11:P22))</f>
        <v>2.7518248175182478</v>
      </c>
      <c r="Q24" s="127" cm="1">
        <f t="array" ref="Q24">MEDIAN(IF($R$11:$R$22="X",Q11:Q22))</f>
        <v>40.75949367088608</v>
      </c>
      <c r="R24" s="116"/>
    </row>
    <row r="25" spans="1:21" x14ac:dyDescent="0.25">
      <c r="C25" s="10" t="s">
        <v>264</v>
      </c>
      <c r="D25" s="135" cm="1">
        <f t="array" ref="D25">PERCENTILE(IF($R$11:$R$22="X",D11:D22),0.25)</f>
        <v>11400</v>
      </c>
      <c r="E25" s="136" cm="1">
        <f t="array" ref="E25">PERCENTILE(IF($R$11:$R$22="X",E11:E22),0.25)</f>
        <v>2.09</v>
      </c>
      <c r="F25" s="137" cm="1">
        <f t="array" ref="F25">PERCENTILE(IF($R$11:$R$22="X",F11:F22),0.25)</f>
        <v>2.12E-2</v>
      </c>
      <c r="G25" s="136" cm="1">
        <f t="array" ref="G25">PERCENTILE(IF($R$11:$R$22="X",G11:G22),0.25)</f>
        <v>0.17399999999999999</v>
      </c>
      <c r="H25" s="50" cm="1">
        <f t="array" ref="H25">PERCENTILE(IF($R$11:$R$22="X",H11:H22),0.25)</f>
        <v>8.2775119617224877E-2</v>
      </c>
      <c r="I25" s="136" cm="1">
        <f t="array" ref="I25">PERCENTILE(IF($R$11:$R$22="X",I11:I22),0.25)</f>
        <v>4.2000000000000003E-2</v>
      </c>
      <c r="J25" s="45" cm="1">
        <f t="array" ref="J25">PERCENTILE(IF($R$11:$R$22="X",J11:J22),0.25)</f>
        <v>1.8181818181818181E-2</v>
      </c>
      <c r="K25" s="136" cm="1">
        <f t="array" ref="K25">PERCENTILE(IF($R$11:$R$22="X",K11:K22),0.25)</f>
        <v>39.950000000000003</v>
      </c>
      <c r="L25" s="136" cm="1">
        <f t="array" ref="L25">PERCENTILE(IF($R$11:$R$22="X",L11:L22),0.25)</f>
        <v>3.77</v>
      </c>
      <c r="M25" s="136" cm="1">
        <f t="array" ref="M25">PERCENTILE(IF($R$11:$R$22="X",M11:M22),0.25)</f>
        <v>4.29</v>
      </c>
      <c r="N25" s="126" cm="1">
        <f t="array" ref="N25">PERCENTILE(IF($R$11:$R$22="X",N11:N22),0.25)</f>
        <v>1.2105263157894737</v>
      </c>
      <c r="O25" s="127" cm="1">
        <f t="array" ref="O25">PERCENTILE(IF($R$11:$R$22="X",O11:O22),0.25)</f>
        <v>14.624277456647398</v>
      </c>
      <c r="P25" s="127" cm="1">
        <f t="array" ref="P25">PERCENTILE(IF($R$11:$R$22="X",P11:P22),0.25)</f>
        <v>0.7559808612440192</v>
      </c>
      <c r="Q25" s="127" cm="1">
        <f t="array" ref="Q25">PERCENTILE(IF($R$11:$R$22="X",Q11:Q22),0.25)</f>
        <v>34.123376623376622</v>
      </c>
      <c r="R25" s="116"/>
    </row>
    <row r="26" spans="1:21" x14ac:dyDescent="0.25">
      <c r="C26" s="10" t="s">
        <v>265</v>
      </c>
      <c r="D26" s="135" cm="1">
        <f t="array" ref="D26">PERCENTILE(IF($R$11:$R$22="X",D11:D22),0.75)</f>
        <v>130000</v>
      </c>
      <c r="E26" s="136" cm="1">
        <f t="array" ref="E26">PERCENTILE(IF($R$11:$R$22="X",E11:E22),0.75)</f>
        <v>11.79</v>
      </c>
      <c r="F26" s="137" cm="1">
        <f t="array" ref="F26">PERCENTILE(IF($R$11:$R$22="X",F11:F22),0.75)</f>
        <v>7.3099999999999998E-2</v>
      </c>
      <c r="G26" s="136" cm="1">
        <f t="array" ref="G26">PERCENTILE(IF($R$11:$R$22="X",G11:G22),0.75)</f>
        <v>2.2799999999999998</v>
      </c>
      <c r="H26" s="50" cm="1">
        <f t="array" ref="H26">PERCENTILE(IF($R$11:$R$22="X",H11:H22),0.75)</f>
        <v>0.19338422391857507</v>
      </c>
      <c r="I26" s="136" cm="1">
        <f t="array" ref="I26">PERCENTILE(IF($R$11:$R$22="X",I11:I22),0.75)</f>
        <v>0.5</v>
      </c>
      <c r="J26" s="45" cm="1">
        <f t="array" ref="J26">PERCENTILE(IF($R$11:$R$22="X",J11:J22),0.75)</f>
        <v>0.10309278350515465</v>
      </c>
      <c r="K26" s="136" cm="1">
        <f t="array" ref="K26">PERCENTILE(IF($R$11:$R$22="X",K11:K22),0.75)</f>
        <v>89.6</v>
      </c>
      <c r="L26" s="136" cm="1">
        <f t="array" ref="L26">PERCENTILE(IF($R$11:$R$22="X",L11:L22),0.75)</f>
        <v>19.32</v>
      </c>
      <c r="M26" s="136" cm="1">
        <f t="array" ref="M26">PERCENTILE(IF($R$11:$R$22="X",M11:M22),0.75)</f>
        <v>26.97</v>
      </c>
      <c r="N26" s="126" cm="1">
        <f t="array" ref="N26">PERCENTILE(IF($R$11:$R$22="X",N11:N22),0.75)</f>
        <v>4.0391752577319586</v>
      </c>
      <c r="O26" s="127" cm="1">
        <f t="array" ref="O26">PERCENTILE(IF($R$11:$R$22="X",O11:O22),0.75)</f>
        <v>24.464912280701757</v>
      </c>
      <c r="P26" s="127" cm="1">
        <f t="array" ref="P26">PERCENTILE(IF($R$11:$R$22="X",P11:P22),0.75)</f>
        <v>3.0226804123711344</v>
      </c>
      <c r="Q26" s="127" cm="1">
        <f t="array" ref="Q26">PERCENTILE(IF($R$11:$R$22="X",Q11:Q22),0.75)</f>
        <v>41.578947368421055</v>
      </c>
      <c r="R26" s="116"/>
    </row>
    <row r="27" spans="1:21" x14ac:dyDescent="0.25">
      <c r="D27" s="116"/>
      <c r="N27" s="116"/>
      <c r="R27" s="116"/>
    </row>
    <row r="28" spans="1:21" s="1" customFormat="1" x14ac:dyDescent="0.25">
      <c r="A28" s="114" t="s">
        <v>10</v>
      </c>
      <c r="B28" s="114"/>
      <c r="C28" s="2" t="s">
        <v>266</v>
      </c>
      <c r="D28" s="131"/>
    </row>
    <row r="29" spans="1:21" x14ac:dyDescent="0.25">
      <c r="D29" s="116"/>
    </row>
    <row r="30" spans="1:21" x14ac:dyDescent="0.25">
      <c r="C30" s="109"/>
      <c r="D30" s="130"/>
      <c r="E30" s="107"/>
      <c r="F30" s="107"/>
      <c r="G30" s="107"/>
      <c r="H30" s="107"/>
      <c r="I30" s="107"/>
      <c r="J30" s="107"/>
      <c r="K30" s="107"/>
      <c r="L30" s="107"/>
      <c r="M30" s="107"/>
      <c r="N30" s="192" t="s">
        <v>106</v>
      </c>
      <c r="O30" s="192"/>
      <c r="P30" s="192"/>
      <c r="Q30" s="192"/>
      <c r="R30" s="192" t="s">
        <v>279</v>
      </c>
      <c r="S30" s="192"/>
      <c r="T30" s="192"/>
      <c r="U30" s="192"/>
    </row>
    <row r="31" spans="1:21" x14ac:dyDescent="0.25">
      <c r="C31" s="109" t="s">
        <v>261</v>
      </c>
      <c r="D31" s="130" t="s">
        <v>85</v>
      </c>
      <c r="E31" s="107" t="s">
        <v>82</v>
      </c>
      <c r="F31" s="107" t="s">
        <v>70</v>
      </c>
      <c r="G31" s="107" t="s">
        <v>270</v>
      </c>
      <c r="H31" s="107" t="s">
        <v>271</v>
      </c>
      <c r="I31" s="107" t="s">
        <v>272</v>
      </c>
      <c r="J31" s="107" t="s">
        <v>273</v>
      </c>
      <c r="K31" s="107" t="s">
        <v>274</v>
      </c>
      <c r="L31" s="107" t="s">
        <v>275</v>
      </c>
      <c r="M31" s="107" t="s">
        <v>276</v>
      </c>
      <c r="N31" s="107" t="s">
        <v>273</v>
      </c>
      <c r="O31" s="107" t="s">
        <v>274</v>
      </c>
      <c r="P31" s="107" t="s">
        <v>275</v>
      </c>
      <c r="Q31" s="107" t="s">
        <v>276</v>
      </c>
      <c r="R31" s="107" t="s">
        <v>273</v>
      </c>
      <c r="S31" s="107" t="s">
        <v>274</v>
      </c>
      <c r="T31" s="107" t="s">
        <v>275</v>
      </c>
      <c r="U31" s="107" t="s">
        <v>276</v>
      </c>
    </row>
    <row r="32" spans="1:21" x14ac:dyDescent="0.25">
      <c r="C32" s="10" t="s">
        <v>262</v>
      </c>
      <c r="D32" s="125">
        <f>E10</f>
        <v>26.27</v>
      </c>
      <c r="E32" s="124">
        <f>G10</f>
        <v>14.33</v>
      </c>
      <c r="F32" s="124">
        <f>I10</f>
        <v>8.41</v>
      </c>
      <c r="G32" s="145">
        <f>DCF!R103</f>
        <v>712.1</v>
      </c>
      <c r="H32" s="147">
        <f>DCF!R100/1000</f>
        <v>1.0478029639999999</v>
      </c>
      <c r="I32" s="143">
        <f>DCF!R101/1000</f>
        <v>-49.552871610000004</v>
      </c>
      <c r="J32" s="149">
        <f>N23</f>
        <v>2.7215248595731429</v>
      </c>
      <c r="K32" s="149">
        <f>O23</f>
        <v>18.701759909437829</v>
      </c>
      <c r="L32" s="149">
        <f t="shared" ref="L32:M32" si="4">P23</f>
        <v>2.2685078590080745</v>
      </c>
      <c r="M32" s="149">
        <f t="shared" si="4"/>
        <v>47.1087444849177</v>
      </c>
      <c r="N32" s="149">
        <f>D32*J32+H32+I32</f>
        <v>22.989389414986455</v>
      </c>
      <c r="O32" s="149">
        <f>K32*E32+H32+I32</f>
        <v>219.49115085624413</v>
      </c>
      <c r="P32" s="153">
        <f>L32*D32</f>
        <v>59.593701456142114</v>
      </c>
      <c r="Q32" s="153">
        <f>M32*F32</f>
        <v>396.18454111815788</v>
      </c>
      <c r="R32" s="154">
        <f>N32*1000/$G32</f>
        <v>32.283934019079418</v>
      </c>
      <c r="S32" s="154">
        <f>O32*1000/$G32</f>
        <v>308.23079743890486</v>
      </c>
      <c r="T32" s="154">
        <f>P32*1000/$G32</f>
        <v>83.687265069712282</v>
      </c>
      <c r="U32" s="154">
        <f>Q32*1000/$G32</f>
        <v>556.36082167976099</v>
      </c>
    </row>
    <row r="33" spans="3:21" x14ac:dyDescent="0.25">
      <c r="C33" s="10" t="s">
        <v>263</v>
      </c>
      <c r="D33" s="125">
        <f>D32</f>
        <v>26.27</v>
      </c>
      <c r="E33" s="124">
        <f t="shared" ref="E33:H33" si="5">E32</f>
        <v>14.33</v>
      </c>
      <c r="F33" s="124">
        <f t="shared" si="5"/>
        <v>8.41</v>
      </c>
      <c r="G33" s="146">
        <f t="shared" si="5"/>
        <v>712.1</v>
      </c>
      <c r="H33" s="148">
        <f t="shared" si="5"/>
        <v>1.0478029639999999</v>
      </c>
      <c r="I33" s="144">
        <f>I32</f>
        <v>-49.552871610000004</v>
      </c>
      <c r="J33" s="149">
        <f t="shared" ref="J33:J35" si="6">N24</f>
        <v>3.1313868613138682</v>
      </c>
      <c r="K33" s="149">
        <f t="shared" ref="K33:K35" si="7">O24</f>
        <v>19.019417475728154</v>
      </c>
      <c r="L33" s="149">
        <f t="shared" ref="L33:L35" si="8">P24</f>
        <v>2.7518248175182478</v>
      </c>
      <c r="M33" s="149">
        <f t="shared" ref="M33:M35" si="9">Q24</f>
        <v>40.75949367088608</v>
      </c>
      <c r="N33" s="149">
        <f t="shared" ref="N33:N35" si="10">D33*J33+H33+I33</f>
        <v>33.756464200715307</v>
      </c>
      <c r="O33" s="149">
        <f t="shared" ref="O33:O35" si="11">K33*E33+H33+I33</f>
        <v>224.0431837811845</v>
      </c>
      <c r="P33" s="153">
        <f t="shared" ref="P33:P35" si="12">L33*D33</f>
        <v>72.290437956204372</v>
      </c>
      <c r="Q33" s="153">
        <f t="shared" ref="Q33:Q35" si="13">M33*F33</f>
        <v>342.78734177215193</v>
      </c>
      <c r="R33" s="154">
        <f t="shared" ref="R33:R35" si="14">N33*1000/$G33</f>
        <v>47.40410644672842</v>
      </c>
      <c r="S33" s="154">
        <f t="shared" ref="S33:S35" si="15">O33*1000/$G33</f>
        <v>314.62320429881265</v>
      </c>
      <c r="T33" s="154">
        <f t="shared" ref="T33:T35" si="16">P33*1000/$G33</f>
        <v>101.51725594186824</v>
      </c>
      <c r="U33" s="154">
        <f t="shared" ref="U33:U35" si="17">Q33*1000/$G33</f>
        <v>481.37528685880062</v>
      </c>
    </row>
    <row r="34" spans="3:21" x14ac:dyDescent="0.25">
      <c r="C34" s="10" t="s">
        <v>264</v>
      </c>
      <c r="D34" s="125">
        <f t="shared" ref="D34:D35" si="18">D33</f>
        <v>26.27</v>
      </c>
      <c r="E34" s="124">
        <f t="shared" ref="E34:E35" si="19">E33</f>
        <v>14.33</v>
      </c>
      <c r="F34" s="124">
        <f t="shared" ref="F34:F35" si="20">F33</f>
        <v>8.41</v>
      </c>
      <c r="G34" s="146">
        <f t="shared" ref="G34:G35" si="21">G33</f>
        <v>712.1</v>
      </c>
      <c r="H34" s="148">
        <f t="shared" ref="H34:H35" si="22">H33</f>
        <v>1.0478029639999999</v>
      </c>
      <c r="I34" s="144">
        <f t="shared" ref="I34:I35" si="23">I33</f>
        <v>-49.552871610000004</v>
      </c>
      <c r="J34" s="149">
        <f t="shared" si="6"/>
        <v>1.2105263157894737</v>
      </c>
      <c r="K34" s="149">
        <f t="shared" si="7"/>
        <v>14.624277456647398</v>
      </c>
      <c r="L34" s="149">
        <f t="shared" si="8"/>
        <v>0.7559808612440192</v>
      </c>
      <c r="M34" s="149">
        <f t="shared" si="9"/>
        <v>34.123376623376622</v>
      </c>
      <c r="N34" s="149">
        <f t="shared" si="10"/>
        <v>-16.704542330210529</v>
      </c>
      <c r="O34" s="149">
        <f t="shared" si="11"/>
        <v>161.06082730775719</v>
      </c>
      <c r="P34" s="153">
        <f t="shared" si="12"/>
        <v>19.859617224880385</v>
      </c>
      <c r="Q34" s="153">
        <f t="shared" si="13"/>
        <v>286.97759740259738</v>
      </c>
      <c r="R34" s="154">
        <f t="shared" si="14"/>
        <v>-23.458141174288063</v>
      </c>
      <c r="S34" s="154">
        <f t="shared" si="15"/>
        <v>226.1772606484443</v>
      </c>
      <c r="T34" s="154">
        <f t="shared" si="16"/>
        <v>27.8888038546277</v>
      </c>
      <c r="U34" s="154">
        <f t="shared" si="17"/>
        <v>403.00182193876896</v>
      </c>
    </row>
    <row r="35" spans="3:21" x14ac:dyDescent="0.25">
      <c r="C35" s="10" t="s">
        <v>265</v>
      </c>
      <c r="D35" s="125">
        <f t="shared" si="18"/>
        <v>26.27</v>
      </c>
      <c r="E35" s="124">
        <f t="shared" si="19"/>
        <v>14.33</v>
      </c>
      <c r="F35" s="124">
        <f t="shared" si="20"/>
        <v>8.41</v>
      </c>
      <c r="G35" s="146">
        <f t="shared" si="21"/>
        <v>712.1</v>
      </c>
      <c r="H35" s="148">
        <f t="shared" si="22"/>
        <v>1.0478029639999999</v>
      </c>
      <c r="I35" s="144">
        <f t="shared" si="23"/>
        <v>-49.552871610000004</v>
      </c>
      <c r="J35" s="149">
        <f t="shared" si="6"/>
        <v>4.0391752577319586</v>
      </c>
      <c r="K35" s="149">
        <f t="shared" si="7"/>
        <v>24.464912280701757</v>
      </c>
      <c r="L35" s="149">
        <f t="shared" si="8"/>
        <v>3.0226804123711344</v>
      </c>
      <c r="M35" s="149">
        <f t="shared" si="9"/>
        <v>41.578947368421055</v>
      </c>
      <c r="N35" s="149">
        <f t="shared" si="10"/>
        <v>57.60406537461855</v>
      </c>
      <c r="O35" s="149">
        <f t="shared" si="11"/>
        <v>302.07712433645622</v>
      </c>
      <c r="P35" s="153">
        <f t="shared" si="12"/>
        <v>79.4058144329897</v>
      </c>
      <c r="Q35" s="153">
        <f t="shared" si="13"/>
        <v>349.67894736842106</v>
      </c>
      <c r="R35" s="154">
        <f t="shared" si="14"/>
        <v>80.8932247923305</v>
      </c>
      <c r="S35" s="154">
        <f t="shared" si="15"/>
        <v>424.20604456741501</v>
      </c>
      <c r="T35" s="154">
        <f t="shared" si="16"/>
        <v>111.50935884424898</v>
      </c>
      <c r="U35" s="154">
        <f t="shared" si="17"/>
        <v>491.05314895158131</v>
      </c>
    </row>
  </sheetData>
  <mergeCells count="2">
    <mergeCell ref="N30:Q30"/>
    <mergeCell ref="R30:U30"/>
  </mergeCells>
  <conditionalFormatting sqref="D10:D26">
    <cfRule type="colorScale" priority="9">
      <colorScale>
        <cfvo type="min"/>
        <cfvo type="max"/>
        <color rgb="FFFCFCFF"/>
        <color rgb="FF63BE7B"/>
      </colorScale>
    </cfRule>
  </conditionalFormatting>
  <conditionalFormatting sqref="E10:G22">
    <cfRule type="colorScale" priority="8">
      <colorScale>
        <cfvo type="min"/>
        <cfvo type="max"/>
        <color rgb="FFFCFCFF"/>
        <color rgb="FF63BE7B"/>
      </colorScale>
    </cfRule>
  </conditionalFormatting>
  <conditionalFormatting sqref="E23:G26">
    <cfRule type="colorScale" priority="2">
      <colorScale>
        <cfvo type="min"/>
        <cfvo type="max"/>
        <color rgb="FFFCFCFF"/>
        <color rgb="FF63BE7B"/>
      </colorScale>
    </cfRule>
  </conditionalFormatting>
  <conditionalFormatting sqref="F10:F26">
    <cfRule type="colorScale" priority="7">
      <colorScale>
        <cfvo type="min"/>
        <cfvo type="max"/>
        <color rgb="FFFCFCFF"/>
        <color rgb="FF63BE7B"/>
      </colorScale>
    </cfRule>
  </conditionalFormatting>
  <conditionalFormatting sqref="H10:H26">
    <cfRule type="colorScale" priority="11">
      <colorScale>
        <cfvo type="min"/>
        <cfvo type="max"/>
        <color rgb="FFFCFCFF"/>
        <color rgb="FF63BE7B"/>
      </colorScale>
    </cfRule>
  </conditionalFormatting>
  <conditionalFormatting sqref="J10:J26">
    <cfRule type="colorScale" priority="10">
      <colorScale>
        <cfvo type="min"/>
        <cfvo type="max"/>
        <color rgb="FFFCFCFF"/>
        <color rgb="FF63BE7B"/>
      </colorScale>
    </cfRule>
  </conditionalFormatting>
  <conditionalFormatting sqref="N10:N22">
    <cfRule type="colorScale" priority="6">
      <colorScale>
        <cfvo type="min"/>
        <cfvo type="max"/>
        <color rgb="FFFCFCFF"/>
        <color rgb="FF63BE7B"/>
      </colorScale>
    </cfRule>
  </conditionalFormatting>
  <conditionalFormatting sqref="O11:O22">
    <cfRule type="colorScale" priority="5">
      <colorScale>
        <cfvo type="min"/>
        <cfvo type="max"/>
        <color rgb="FFFCFCFF"/>
        <color rgb="FF63BE7B"/>
      </colorScale>
    </cfRule>
  </conditionalFormatting>
  <conditionalFormatting sqref="P11:P22">
    <cfRule type="colorScale" priority="4">
      <colorScale>
        <cfvo type="min"/>
        <cfvo type="max"/>
        <color rgb="FFFCFCFF"/>
        <color rgb="FF63BE7B"/>
      </colorScale>
    </cfRule>
  </conditionalFormatting>
  <conditionalFormatting sqref="Q11:Q22">
    <cfRule type="colorScale" priority="3">
      <colorScale>
        <cfvo type="min"/>
        <cfvo type="max"/>
        <color rgb="FFFCFCFF"/>
        <color rgb="FF63BE7B"/>
      </colorScale>
    </cfRule>
  </conditionalFormatting>
  <conditionalFormatting sqref="R32:U3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C795-9A9C-443F-ACA7-2FA15A0B61C2}">
  <dimension ref="A1:R257"/>
  <sheetViews>
    <sheetView showGridLines="0" workbookViewId="0">
      <selection activeCell="H16" sqref="H16"/>
    </sheetView>
  </sheetViews>
  <sheetFormatPr defaultRowHeight="15" x14ac:dyDescent="0.25"/>
  <cols>
    <col min="1" max="1" width="5.7109375" customWidth="1"/>
    <col min="2" max="2" width="4" customWidth="1"/>
    <col min="3" max="3" width="13" customWidth="1"/>
    <col min="6" max="6" width="17.42578125" customWidth="1"/>
    <col min="7" max="7" width="13.85546875" customWidth="1"/>
  </cols>
  <sheetData>
    <row r="1" spans="1:18" s="1" customFormat="1" x14ac:dyDescent="0.25">
      <c r="A1" s="161"/>
    </row>
    <row r="2" spans="1:18" s="1" customFormat="1" ht="26.25" x14ac:dyDescent="0.4">
      <c r="A2" s="161"/>
      <c r="C2" s="162" t="s">
        <v>280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</row>
    <row r="3" spans="1:18" x14ac:dyDescent="0.25">
      <c r="A3" s="124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</row>
    <row r="4" spans="1:18" s="1" customFormat="1" x14ac:dyDescent="0.25">
      <c r="A4" s="124" t="s">
        <v>10</v>
      </c>
      <c r="B4"/>
      <c r="C4" s="2" t="s">
        <v>266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</row>
    <row r="5" spans="1:18" x14ac:dyDescent="0.25">
      <c r="A5" s="124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</row>
    <row r="6" spans="1:18" x14ac:dyDescent="0.25">
      <c r="A6" s="124"/>
      <c r="C6" s="157"/>
      <c r="D6" s="157"/>
      <c r="E6" s="144"/>
      <c r="F6" s="157"/>
      <c r="G6" s="157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</row>
    <row r="7" spans="1:18" x14ac:dyDescent="0.25">
      <c r="A7" s="124"/>
      <c r="C7" s="158" t="str" cm="1">
        <f t="array" aca="1" ref="C7:D257" ca="1">_xlfn.STOCKHISTORY("MCD",DATE(2025,1,1),DATE(2025,12,31))</f>
        <v>Date</v>
      </c>
      <c r="D7" s="159" t="str">
        <f ca="1"/>
        <v>Close</v>
      </c>
      <c r="E7" s="144"/>
      <c r="F7" s="158" t="s">
        <v>15</v>
      </c>
      <c r="G7" s="158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</row>
    <row r="8" spans="1:18" x14ac:dyDescent="0.25">
      <c r="A8" s="124"/>
      <c r="C8" s="84" vm="1">
        <f ca="1"/>
        <v>45659</v>
      </c>
      <c r="D8" s="160" vm="2">
        <f ca="1"/>
        <v>292.51</v>
      </c>
      <c r="E8" s="160"/>
      <c r="F8" s="10" t="s">
        <v>262</v>
      </c>
      <c r="G8" s="160">
        <f ca="1">AVERAGE(D8:D257)</f>
        <v>304.56540000000001</v>
      </c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</row>
    <row r="9" spans="1:18" x14ac:dyDescent="0.25">
      <c r="A9" s="124"/>
      <c r="C9" s="84" vm="3">
        <f ca="1"/>
        <v>45660</v>
      </c>
      <c r="D9" s="160" vm="4">
        <f ca="1"/>
        <v>294.77999999999997</v>
      </c>
      <c r="E9" s="160"/>
      <c r="F9" s="10" t="s">
        <v>263</v>
      </c>
      <c r="G9" s="160">
        <f ca="1">MEDIAN(D8:D257)</f>
        <v>305.53999999999996</v>
      </c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</row>
    <row r="10" spans="1:18" x14ac:dyDescent="0.25">
      <c r="A10" s="124"/>
      <c r="C10" s="84" vm="5">
        <f ca="1"/>
        <v>45663</v>
      </c>
      <c r="D10" s="160" vm="6">
        <f ca="1"/>
        <v>292.18</v>
      </c>
      <c r="E10" s="160"/>
      <c r="F10" s="10" t="s">
        <v>264</v>
      </c>
      <c r="G10" s="160">
        <f ca="1">PERCENTILE(D8:D257,0.25)</f>
        <v>299.45499999999998</v>
      </c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</row>
    <row r="11" spans="1:18" x14ac:dyDescent="0.25">
      <c r="A11" s="124"/>
      <c r="C11" s="84" vm="7">
        <f ca="1"/>
        <v>45664</v>
      </c>
      <c r="D11" s="160" vm="8">
        <f ca="1"/>
        <v>289.33999999999997</v>
      </c>
      <c r="E11" s="160"/>
      <c r="F11" s="10" t="s">
        <v>265</v>
      </c>
      <c r="G11" s="160">
        <f ca="1">PERCENTILE(D8:D257,0.75)</f>
        <v>311.39750000000004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</row>
    <row r="12" spans="1:18" x14ac:dyDescent="0.25">
      <c r="C12" vm="9">
        <f ca="1"/>
        <v>45665</v>
      </c>
      <c r="D12" vm="10">
        <f ca="1"/>
        <v>286.89999999999998</v>
      </c>
    </row>
    <row r="13" spans="1:18" x14ac:dyDescent="0.25">
      <c r="C13" vm="11">
        <f ca="1"/>
        <v>45667</v>
      </c>
      <c r="D13" vm="12">
        <f ca="1"/>
        <v>282.31</v>
      </c>
    </row>
    <row r="14" spans="1:18" x14ac:dyDescent="0.25">
      <c r="C14" vm="13">
        <f ca="1"/>
        <v>45670</v>
      </c>
      <c r="D14" vm="14">
        <f ca="1"/>
        <v>283.63</v>
      </c>
    </row>
    <row r="15" spans="1:18" x14ac:dyDescent="0.25">
      <c r="C15" vm="15">
        <f ca="1"/>
        <v>45671</v>
      </c>
      <c r="D15" vm="16">
        <f ca="1"/>
        <v>281.58</v>
      </c>
    </row>
    <row r="16" spans="1:18" x14ac:dyDescent="0.25">
      <c r="C16" vm="17">
        <f ca="1"/>
        <v>45672</v>
      </c>
      <c r="D16" vm="18">
        <f ca="1"/>
        <v>282.3</v>
      </c>
    </row>
    <row r="17" spans="3:4" x14ac:dyDescent="0.25">
      <c r="C17" vm="19">
        <f ca="1"/>
        <v>45673</v>
      </c>
      <c r="D17" vm="20">
        <f ca="1"/>
        <v>279.74</v>
      </c>
    </row>
    <row r="18" spans="3:4" x14ac:dyDescent="0.25">
      <c r="C18" vm="21">
        <f ca="1"/>
        <v>45674</v>
      </c>
      <c r="D18" vm="22">
        <f ca="1"/>
        <v>280.95</v>
      </c>
    </row>
    <row r="19" spans="3:4" x14ac:dyDescent="0.25">
      <c r="C19" vm="23">
        <f ca="1"/>
        <v>45678</v>
      </c>
      <c r="D19" vm="24">
        <f ca="1"/>
        <v>282.61</v>
      </c>
    </row>
    <row r="20" spans="3:4" x14ac:dyDescent="0.25">
      <c r="C20" vm="25">
        <f ca="1"/>
        <v>45679</v>
      </c>
      <c r="D20" vm="26">
        <f ca="1"/>
        <v>281.35000000000002</v>
      </c>
    </row>
    <row r="21" spans="3:4" x14ac:dyDescent="0.25">
      <c r="C21" vm="27">
        <f ca="1"/>
        <v>45680</v>
      </c>
      <c r="D21" vm="28">
        <f ca="1"/>
        <v>284.43</v>
      </c>
    </row>
    <row r="22" spans="3:4" x14ac:dyDescent="0.25">
      <c r="C22" vm="29">
        <f ca="1"/>
        <v>45681</v>
      </c>
      <c r="D22" vm="30">
        <f ca="1"/>
        <v>285.45999999999998</v>
      </c>
    </row>
    <row r="23" spans="3:4" x14ac:dyDescent="0.25">
      <c r="C23" vm="31">
        <f ca="1"/>
        <v>45684</v>
      </c>
      <c r="D23" vm="32">
        <f ca="1"/>
        <v>293.08999999999997</v>
      </c>
    </row>
    <row r="24" spans="3:4" x14ac:dyDescent="0.25">
      <c r="C24" vm="33">
        <f ca="1"/>
        <v>45685</v>
      </c>
      <c r="D24" vm="34">
        <f ca="1"/>
        <v>291.14999999999998</v>
      </c>
    </row>
    <row r="25" spans="3:4" x14ac:dyDescent="0.25">
      <c r="C25" vm="35">
        <f ca="1"/>
        <v>45686</v>
      </c>
      <c r="D25" vm="36">
        <f ca="1"/>
        <v>290.11</v>
      </c>
    </row>
    <row r="26" spans="3:4" x14ac:dyDescent="0.25">
      <c r="C26" vm="37">
        <f ca="1"/>
        <v>45687</v>
      </c>
      <c r="D26" vm="38">
        <f ca="1"/>
        <v>290.32</v>
      </c>
    </row>
    <row r="27" spans="3:4" x14ac:dyDescent="0.25">
      <c r="C27" vm="39">
        <f ca="1"/>
        <v>45688</v>
      </c>
      <c r="D27" vm="40">
        <f ca="1"/>
        <v>288.7</v>
      </c>
    </row>
    <row r="28" spans="3:4" x14ac:dyDescent="0.25">
      <c r="C28" vm="41">
        <f ca="1"/>
        <v>45691</v>
      </c>
      <c r="D28" vm="42">
        <f ca="1"/>
        <v>290.05</v>
      </c>
    </row>
    <row r="29" spans="3:4" x14ac:dyDescent="0.25">
      <c r="C29" vm="43">
        <f ca="1"/>
        <v>45692</v>
      </c>
      <c r="D29" vm="44">
        <f ca="1"/>
        <v>289.77</v>
      </c>
    </row>
    <row r="30" spans="3:4" x14ac:dyDescent="0.25">
      <c r="C30" vm="45">
        <f ca="1"/>
        <v>45693</v>
      </c>
      <c r="D30" vm="46">
        <f ca="1"/>
        <v>288.83</v>
      </c>
    </row>
    <row r="31" spans="3:4" x14ac:dyDescent="0.25">
      <c r="C31" vm="47">
        <f ca="1"/>
        <v>45694</v>
      </c>
      <c r="D31" vm="48">
        <f ca="1"/>
        <v>294.36</v>
      </c>
    </row>
    <row r="32" spans="3:4" x14ac:dyDescent="0.25">
      <c r="C32" vm="49">
        <f ca="1"/>
        <v>45695</v>
      </c>
      <c r="D32" vm="50">
        <f ca="1"/>
        <v>294.3</v>
      </c>
    </row>
    <row r="33" spans="3:4" x14ac:dyDescent="0.25">
      <c r="C33" vm="51">
        <f ca="1"/>
        <v>45698</v>
      </c>
      <c r="D33" vm="52">
        <f ca="1"/>
        <v>308.42</v>
      </c>
    </row>
    <row r="34" spans="3:4" x14ac:dyDescent="0.25">
      <c r="C34" vm="53">
        <f ca="1"/>
        <v>45699</v>
      </c>
      <c r="D34" vm="54">
        <f ca="1"/>
        <v>310.20999999999998</v>
      </c>
    </row>
    <row r="35" spans="3:4" x14ac:dyDescent="0.25">
      <c r="C35" vm="55">
        <f ca="1"/>
        <v>45700</v>
      </c>
      <c r="D35" vm="56">
        <f ca="1"/>
        <v>307.60000000000002</v>
      </c>
    </row>
    <row r="36" spans="3:4" x14ac:dyDescent="0.25">
      <c r="C36" vm="57">
        <f ca="1"/>
        <v>45701</v>
      </c>
      <c r="D36" vm="58">
        <f ca="1"/>
        <v>310.02</v>
      </c>
    </row>
    <row r="37" spans="3:4" x14ac:dyDescent="0.25">
      <c r="C37" vm="59">
        <f ca="1"/>
        <v>45702</v>
      </c>
      <c r="D37" vm="60">
        <f ca="1"/>
        <v>308.55</v>
      </c>
    </row>
    <row r="38" spans="3:4" x14ac:dyDescent="0.25">
      <c r="C38" vm="61">
        <f ca="1"/>
        <v>45706</v>
      </c>
      <c r="D38" vm="62">
        <f ca="1"/>
        <v>304.83</v>
      </c>
    </row>
    <row r="39" spans="3:4" x14ac:dyDescent="0.25">
      <c r="C39" vm="63">
        <f ca="1"/>
        <v>45707</v>
      </c>
      <c r="D39" vm="64">
        <f ca="1"/>
        <v>301.94</v>
      </c>
    </row>
    <row r="40" spans="3:4" x14ac:dyDescent="0.25">
      <c r="C40" vm="65">
        <f ca="1"/>
        <v>45708</v>
      </c>
      <c r="D40" vm="66">
        <f ca="1"/>
        <v>303.05</v>
      </c>
    </row>
    <row r="41" spans="3:4" x14ac:dyDescent="0.25">
      <c r="C41" vm="67">
        <f ca="1"/>
        <v>45709</v>
      </c>
      <c r="D41" vm="68">
        <f ca="1"/>
        <v>304.81</v>
      </c>
    </row>
    <row r="42" spans="3:4" x14ac:dyDescent="0.25">
      <c r="C42" vm="69">
        <f ca="1"/>
        <v>45712</v>
      </c>
      <c r="D42" vm="70">
        <f ca="1"/>
        <v>307.57</v>
      </c>
    </row>
    <row r="43" spans="3:4" x14ac:dyDescent="0.25">
      <c r="C43" vm="71">
        <f ca="1"/>
        <v>45713</v>
      </c>
      <c r="D43" vm="72">
        <f ca="1"/>
        <v>310.72000000000003</v>
      </c>
    </row>
    <row r="44" spans="3:4" x14ac:dyDescent="0.25">
      <c r="C44" vm="73">
        <f ca="1"/>
        <v>45714</v>
      </c>
      <c r="D44" vm="74">
        <f ca="1"/>
        <v>304.27</v>
      </c>
    </row>
    <row r="45" spans="3:4" x14ac:dyDescent="0.25">
      <c r="C45" vm="75">
        <f ca="1"/>
        <v>45715</v>
      </c>
      <c r="D45" vm="76">
        <f ca="1"/>
        <v>309.95</v>
      </c>
    </row>
    <row r="46" spans="3:4" x14ac:dyDescent="0.25">
      <c r="C46" vm="77">
        <f ca="1"/>
        <v>45716</v>
      </c>
      <c r="D46" vm="78">
        <f ca="1"/>
        <v>308.33</v>
      </c>
    </row>
    <row r="47" spans="3:4" x14ac:dyDescent="0.25">
      <c r="C47" vm="79">
        <f ca="1"/>
        <v>45719</v>
      </c>
      <c r="D47" vm="80">
        <f ca="1"/>
        <v>304.29000000000002</v>
      </c>
    </row>
    <row r="48" spans="3:4" x14ac:dyDescent="0.25">
      <c r="C48" vm="81">
        <f ca="1"/>
        <v>45720</v>
      </c>
      <c r="D48" vm="82">
        <f ca="1"/>
        <v>305.77</v>
      </c>
    </row>
    <row r="49" spans="3:4" x14ac:dyDescent="0.25">
      <c r="C49" vm="83">
        <f ca="1"/>
        <v>45721</v>
      </c>
      <c r="D49" vm="84">
        <f ca="1"/>
        <v>307.45</v>
      </c>
    </row>
    <row r="50" spans="3:4" x14ac:dyDescent="0.25">
      <c r="C50" vm="85">
        <f ca="1"/>
        <v>45722</v>
      </c>
      <c r="D50" vm="86">
        <f ca="1"/>
        <v>310.37</v>
      </c>
    </row>
    <row r="51" spans="3:4" x14ac:dyDescent="0.25">
      <c r="C51" vm="87">
        <f ca="1"/>
        <v>45723</v>
      </c>
      <c r="D51" vm="88">
        <f ca="1"/>
        <v>321.29000000000002</v>
      </c>
    </row>
    <row r="52" spans="3:4" x14ac:dyDescent="0.25">
      <c r="C52" vm="89">
        <f ca="1"/>
        <v>45726</v>
      </c>
      <c r="D52" vm="90">
        <f ca="1"/>
        <v>317.25</v>
      </c>
    </row>
    <row r="53" spans="3:4" x14ac:dyDescent="0.25">
      <c r="C53" vm="91">
        <f ca="1"/>
        <v>45727</v>
      </c>
      <c r="D53" vm="92">
        <f ca="1"/>
        <v>306.76</v>
      </c>
    </row>
    <row r="54" spans="3:4" x14ac:dyDescent="0.25">
      <c r="C54" vm="93">
        <f ca="1"/>
        <v>45728</v>
      </c>
      <c r="D54" vm="94">
        <f ca="1"/>
        <v>299.39999999999998</v>
      </c>
    </row>
    <row r="55" spans="3:4" x14ac:dyDescent="0.25">
      <c r="C55" vm="95">
        <f ca="1"/>
        <v>45729</v>
      </c>
      <c r="D55" vm="96">
        <f ca="1"/>
        <v>297.5</v>
      </c>
    </row>
    <row r="56" spans="3:4" x14ac:dyDescent="0.25">
      <c r="C56" vm="97">
        <f ca="1"/>
        <v>45730</v>
      </c>
      <c r="D56" vm="98">
        <f ca="1"/>
        <v>299.83</v>
      </c>
    </row>
    <row r="57" spans="3:4" x14ac:dyDescent="0.25">
      <c r="C57" vm="99">
        <f ca="1"/>
        <v>45733</v>
      </c>
      <c r="D57" vm="100">
        <f ca="1"/>
        <v>303.97000000000003</v>
      </c>
    </row>
    <row r="58" spans="3:4" x14ac:dyDescent="0.25">
      <c r="C58" vm="101">
        <f ca="1"/>
        <v>45734</v>
      </c>
      <c r="D58" vm="102">
        <f ca="1"/>
        <v>303.60000000000002</v>
      </c>
    </row>
    <row r="59" spans="3:4" x14ac:dyDescent="0.25">
      <c r="C59" vm="103">
        <f ca="1"/>
        <v>45735</v>
      </c>
      <c r="D59" vm="104">
        <f ca="1"/>
        <v>306.92</v>
      </c>
    </row>
    <row r="60" spans="3:4" x14ac:dyDescent="0.25">
      <c r="C60" vm="105">
        <f ca="1"/>
        <v>45736</v>
      </c>
      <c r="D60" vm="106">
        <f ca="1"/>
        <v>307</v>
      </c>
    </row>
    <row r="61" spans="3:4" x14ac:dyDescent="0.25">
      <c r="C61" vm="107">
        <f ca="1"/>
        <v>45737</v>
      </c>
      <c r="D61" vm="108">
        <f ca="1"/>
        <v>305.44</v>
      </c>
    </row>
    <row r="62" spans="3:4" x14ac:dyDescent="0.25">
      <c r="C62" vm="109">
        <f ca="1"/>
        <v>45740</v>
      </c>
      <c r="D62" vm="110">
        <f ca="1"/>
        <v>305.67</v>
      </c>
    </row>
    <row r="63" spans="3:4" x14ac:dyDescent="0.25">
      <c r="C63" vm="111">
        <f ca="1"/>
        <v>45741</v>
      </c>
      <c r="D63" vm="104">
        <f ca="1"/>
        <v>306.92</v>
      </c>
    </row>
    <row r="64" spans="3:4" x14ac:dyDescent="0.25">
      <c r="C64" vm="112">
        <f ca="1"/>
        <v>45742</v>
      </c>
      <c r="D64" vm="113">
        <f ca="1"/>
        <v>313.58</v>
      </c>
    </row>
    <row r="65" spans="3:4" x14ac:dyDescent="0.25">
      <c r="C65" vm="114">
        <f ca="1"/>
        <v>45743</v>
      </c>
      <c r="D65" vm="115">
        <f ca="1"/>
        <v>312.69</v>
      </c>
    </row>
    <row r="66" spans="3:4" x14ac:dyDescent="0.25">
      <c r="C66" vm="116">
        <f ca="1"/>
        <v>45744</v>
      </c>
      <c r="D66" vm="117">
        <f ca="1"/>
        <v>307.08999999999997</v>
      </c>
    </row>
    <row r="67" spans="3:4" x14ac:dyDescent="0.25">
      <c r="C67" vm="118">
        <f ca="1"/>
        <v>45747</v>
      </c>
      <c r="D67" vm="119">
        <f ca="1"/>
        <v>312.37</v>
      </c>
    </row>
    <row r="68" spans="3:4" x14ac:dyDescent="0.25">
      <c r="C68" vm="120">
        <f ca="1"/>
        <v>45748</v>
      </c>
      <c r="D68" vm="121">
        <f ca="1"/>
        <v>313.63</v>
      </c>
    </row>
    <row r="69" spans="3:4" x14ac:dyDescent="0.25">
      <c r="C69" vm="122">
        <f ca="1"/>
        <v>45749</v>
      </c>
      <c r="D69" vm="123">
        <f ca="1"/>
        <v>311.58</v>
      </c>
    </row>
    <row r="70" spans="3:4" x14ac:dyDescent="0.25">
      <c r="C70" vm="124">
        <f ca="1"/>
        <v>45750</v>
      </c>
      <c r="D70" vm="125">
        <f ca="1"/>
        <v>318.27</v>
      </c>
    </row>
    <row r="71" spans="3:4" x14ac:dyDescent="0.25">
      <c r="C71" vm="126">
        <f ca="1"/>
        <v>45751</v>
      </c>
      <c r="D71" vm="127">
        <f ca="1"/>
        <v>300.11</v>
      </c>
    </row>
    <row r="72" spans="3:4" x14ac:dyDescent="0.25">
      <c r="C72" vm="128">
        <f ca="1"/>
        <v>45754</v>
      </c>
      <c r="D72" vm="129">
        <f ca="1"/>
        <v>299.89</v>
      </c>
    </row>
    <row r="73" spans="3:4" x14ac:dyDescent="0.25">
      <c r="C73" vm="130">
        <f ca="1"/>
        <v>45755</v>
      </c>
      <c r="D73" vm="98">
        <f ca="1"/>
        <v>299.83</v>
      </c>
    </row>
    <row r="74" spans="3:4" x14ac:dyDescent="0.25">
      <c r="C74" vm="131">
        <f ca="1"/>
        <v>45756</v>
      </c>
      <c r="D74" vm="132">
        <f ca="1"/>
        <v>303.95999999999998</v>
      </c>
    </row>
    <row r="75" spans="3:4" x14ac:dyDescent="0.25">
      <c r="C75" vm="133">
        <f ca="1"/>
        <v>45757</v>
      </c>
      <c r="D75" vm="134">
        <f ca="1"/>
        <v>306.77999999999997</v>
      </c>
    </row>
    <row r="76" spans="3:4" x14ac:dyDescent="0.25">
      <c r="C76" vm="135">
        <f ca="1"/>
        <v>45758</v>
      </c>
      <c r="D76" vm="136">
        <f ca="1"/>
        <v>309.89999999999998</v>
      </c>
    </row>
    <row r="77" spans="3:4" x14ac:dyDescent="0.25">
      <c r="C77" vm="137">
        <f ca="1"/>
        <v>45761</v>
      </c>
      <c r="D77" vm="138">
        <f ca="1"/>
        <v>316.07</v>
      </c>
    </row>
    <row r="78" spans="3:4" x14ac:dyDescent="0.25">
      <c r="C78" vm="139">
        <f ca="1"/>
        <v>45762</v>
      </c>
      <c r="D78" vm="140">
        <f ca="1"/>
        <v>312.48</v>
      </c>
    </row>
    <row r="79" spans="3:4" x14ac:dyDescent="0.25">
      <c r="C79" vm="141">
        <f ca="1"/>
        <v>45763</v>
      </c>
      <c r="D79" vm="142">
        <f ca="1"/>
        <v>309.10000000000002</v>
      </c>
    </row>
    <row r="80" spans="3:4" x14ac:dyDescent="0.25">
      <c r="C80" vm="143">
        <f ca="1"/>
        <v>45764</v>
      </c>
      <c r="D80" vm="144">
        <f ca="1"/>
        <v>311.3</v>
      </c>
    </row>
    <row r="81" spans="3:4" x14ac:dyDescent="0.25">
      <c r="C81" vm="145">
        <f ca="1"/>
        <v>45768</v>
      </c>
      <c r="D81" vm="146">
        <f ca="1"/>
        <v>308.72000000000003</v>
      </c>
    </row>
    <row r="82" spans="3:4" x14ac:dyDescent="0.25">
      <c r="C82" vm="147">
        <f ca="1"/>
        <v>45769</v>
      </c>
      <c r="D82" vm="148">
        <f ca="1"/>
        <v>319.08</v>
      </c>
    </row>
    <row r="83" spans="3:4" x14ac:dyDescent="0.25">
      <c r="C83" vm="149">
        <f ca="1"/>
        <v>45770</v>
      </c>
      <c r="D83" vm="150">
        <f ca="1"/>
        <v>318.48</v>
      </c>
    </row>
    <row r="84" spans="3:4" x14ac:dyDescent="0.25">
      <c r="C84" vm="151">
        <f ca="1"/>
        <v>45771</v>
      </c>
      <c r="D84" vm="152">
        <f ca="1"/>
        <v>316.22000000000003</v>
      </c>
    </row>
    <row r="85" spans="3:4" x14ac:dyDescent="0.25">
      <c r="C85" vm="153">
        <f ca="1"/>
        <v>45772</v>
      </c>
      <c r="D85" vm="154">
        <f ca="1"/>
        <v>316.74</v>
      </c>
    </row>
    <row r="86" spans="3:4" x14ac:dyDescent="0.25">
      <c r="C86" vm="155">
        <f ca="1"/>
        <v>45775</v>
      </c>
      <c r="D86" vm="156">
        <f ca="1"/>
        <v>316.81</v>
      </c>
    </row>
    <row r="87" spans="3:4" x14ac:dyDescent="0.25">
      <c r="C87" vm="157">
        <f ca="1"/>
        <v>45776</v>
      </c>
      <c r="D87" vm="158">
        <f ca="1"/>
        <v>314.5</v>
      </c>
    </row>
    <row r="88" spans="3:4" x14ac:dyDescent="0.25">
      <c r="C88" vm="159">
        <f ca="1"/>
        <v>45777</v>
      </c>
      <c r="D88" vm="160">
        <f ca="1"/>
        <v>319.64999999999998</v>
      </c>
    </row>
    <row r="89" spans="3:4" x14ac:dyDescent="0.25">
      <c r="C89" vm="161">
        <f ca="1"/>
        <v>45778</v>
      </c>
      <c r="D89" vm="162">
        <f ca="1"/>
        <v>313.64</v>
      </c>
    </row>
    <row r="90" spans="3:4" x14ac:dyDescent="0.25">
      <c r="C90" vm="163">
        <f ca="1"/>
        <v>45779</v>
      </c>
      <c r="D90" vm="164">
        <f ca="1"/>
        <v>311.95999999999998</v>
      </c>
    </row>
    <row r="91" spans="3:4" x14ac:dyDescent="0.25">
      <c r="C91" vm="165">
        <f ca="1"/>
        <v>45782</v>
      </c>
      <c r="D91" vm="166">
        <f ca="1"/>
        <v>315.72000000000003</v>
      </c>
    </row>
    <row r="92" spans="3:4" x14ac:dyDescent="0.25">
      <c r="C92" vm="167">
        <f ca="1"/>
        <v>45783</v>
      </c>
      <c r="D92" vm="168">
        <f ca="1"/>
        <v>316.79000000000002</v>
      </c>
    </row>
    <row r="93" spans="3:4" x14ac:dyDescent="0.25">
      <c r="C93" vm="169">
        <f ca="1"/>
        <v>45784</v>
      </c>
      <c r="D93" vm="170">
        <f ca="1"/>
        <v>318.13</v>
      </c>
    </row>
    <row r="94" spans="3:4" x14ac:dyDescent="0.25">
      <c r="C94" vm="171">
        <f ca="1"/>
        <v>45785</v>
      </c>
      <c r="D94" vm="172">
        <f ca="1"/>
        <v>313.49</v>
      </c>
    </row>
    <row r="95" spans="3:4" x14ac:dyDescent="0.25">
      <c r="C95" vm="173">
        <f ca="1"/>
        <v>45786</v>
      </c>
      <c r="D95" vm="174">
        <f ca="1"/>
        <v>313.68</v>
      </c>
    </row>
    <row r="96" spans="3:4" x14ac:dyDescent="0.25">
      <c r="C96" vm="175">
        <f ca="1"/>
        <v>45789</v>
      </c>
      <c r="D96" vm="176">
        <f ca="1"/>
        <v>311.92</v>
      </c>
    </row>
    <row r="97" spans="3:4" x14ac:dyDescent="0.25">
      <c r="C97" vm="177">
        <f ca="1"/>
        <v>45790</v>
      </c>
      <c r="D97" vm="178">
        <f ca="1"/>
        <v>308.69</v>
      </c>
    </row>
    <row r="98" spans="3:4" x14ac:dyDescent="0.25">
      <c r="C98" vm="179">
        <f ca="1"/>
        <v>45791</v>
      </c>
      <c r="D98" vm="180">
        <f ca="1"/>
        <v>307.5</v>
      </c>
    </row>
    <row r="99" spans="3:4" x14ac:dyDescent="0.25">
      <c r="C99" vm="181">
        <f ca="1"/>
        <v>45792</v>
      </c>
      <c r="D99" vm="182">
        <f ca="1"/>
        <v>314.48</v>
      </c>
    </row>
    <row r="100" spans="3:4" x14ac:dyDescent="0.25">
      <c r="C100" vm="183">
        <f ca="1"/>
        <v>45793</v>
      </c>
      <c r="D100" vm="184">
        <f ca="1"/>
        <v>318.61</v>
      </c>
    </row>
    <row r="101" spans="3:4" x14ac:dyDescent="0.25">
      <c r="C101" vm="185">
        <f ca="1"/>
        <v>45796</v>
      </c>
      <c r="D101" vm="186">
        <f ca="1"/>
        <v>321.23</v>
      </c>
    </row>
    <row r="102" spans="3:4" x14ac:dyDescent="0.25">
      <c r="C102" vm="187">
        <f ca="1"/>
        <v>45797</v>
      </c>
      <c r="D102" vm="188">
        <f ca="1"/>
        <v>319.8</v>
      </c>
    </row>
    <row r="103" spans="3:4" x14ac:dyDescent="0.25">
      <c r="C103" vm="189">
        <f ca="1"/>
        <v>45798</v>
      </c>
      <c r="D103" vm="190">
        <f ca="1"/>
        <v>316.44</v>
      </c>
    </row>
    <row r="104" spans="3:4" x14ac:dyDescent="0.25">
      <c r="C104" vm="191">
        <f ca="1"/>
        <v>45799</v>
      </c>
      <c r="D104" vm="192">
        <f ca="1"/>
        <v>314.31</v>
      </c>
    </row>
    <row r="105" spans="3:4" x14ac:dyDescent="0.25">
      <c r="C105" vm="193">
        <f ca="1"/>
        <v>45800</v>
      </c>
      <c r="D105" vm="194">
        <f ca="1"/>
        <v>314.57</v>
      </c>
    </row>
    <row r="106" spans="3:4" x14ac:dyDescent="0.25">
      <c r="C106" vm="195">
        <f ca="1"/>
        <v>45804</v>
      </c>
      <c r="D106" vm="196">
        <f ca="1"/>
        <v>314.95</v>
      </c>
    </row>
    <row r="107" spans="3:4" x14ac:dyDescent="0.25">
      <c r="C107" vm="197">
        <f ca="1"/>
        <v>45805</v>
      </c>
      <c r="D107" vm="198">
        <f ca="1"/>
        <v>312.83999999999997</v>
      </c>
    </row>
    <row r="108" spans="3:4" x14ac:dyDescent="0.25">
      <c r="C108" vm="199">
        <f ca="1"/>
        <v>45806</v>
      </c>
      <c r="D108" vm="200">
        <f ca="1"/>
        <v>311.86</v>
      </c>
    </row>
    <row r="109" spans="3:4" x14ac:dyDescent="0.25">
      <c r="C109" vm="201">
        <f ca="1"/>
        <v>45807</v>
      </c>
      <c r="D109" vm="202">
        <f ca="1"/>
        <v>313.85000000000002</v>
      </c>
    </row>
    <row r="110" spans="3:4" x14ac:dyDescent="0.25">
      <c r="C110" vm="203">
        <f ca="1"/>
        <v>45810</v>
      </c>
      <c r="D110" vm="204">
        <f ca="1"/>
        <v>312.68</v>
      </c>
    </row>
    <row r="111" spans="3:4" x14ac:dyDescent="0.25">
      <c r="C111" vm="205">
        <f ca="1"/>
        <v>45811</v>
      </c>
      <c r="D111" vm="206">
        <f ca="1"/>
        <v>312.39</v>
      </c>
    </row>
    <row r="112" spans="3:4" x14ac:dyDescent="0.25">
      <c r="C112" vm="207">
        <f ca="1"/>
        <v>45812</v>
      </c>
      <c r="D112" vm="208">
        <f ca="1"/>
        <v>311.57</v>
      </c>
    </row>
    <row r="113" spans="3:4" x14ac:dyDescent="0.25">
      <c r="C113" vm="209">
        <f ca="1"/>
        <v>45813</v>
      </c>
      <c r="D113" vm="210">
        <f ca="1"/>
        <v>308.98</v>
      </c>
    </row>
    <row r="114" spans="3:4" x14ac:dyDescent="0.25">
      <c r="C114" vm="211">
        <f ca="1"/>
        <v>45814</v>
      </c>
      <c r="D114" vm="212">
        <f ca="1"/>
        <v>307.36</v>
      </c>
    </row>
    <row r="115" spans="3:4" x14ac:dyDescent="0.25">
      <c r="C115" vm="213">
        <f ca="1"/>
        <v>45817</v>
      </c>
      <c r="D115" vm="214">
        <f ca="1"/>
        <v>304.77999999999997</v>
      </c>
    </row>
    <row r="116" spans="3:4" x14ac:dyDescent="0.25">
      <c r="C116" vm="215">
        <f ca="1"/>
        <v>45818</v>
      </c>
      <c r="D116" vm="216">
        <f ca="1"/>
        <v>300.43</v>
      </c>
    </row>
    <row r="117" spans="3:4" x14ac:dyDescent="0.25">
      <c r="C117" vm="217">
        <f ca="1"/>
        <v>45819</v>
      </c>
      <c r="D117" vm="218">
        <f ca="1"/>
        <v>301.72000000000003</v>
      </c>
    </row>
    <row r="118" spans="3:4" x14ac:dyDescent="0.25">
      <c r="C118" vm="219">
        <f ca="1"/>
        <v>45820</v>
      </c>
      <c r="D118" vm="220">
        <f ca="1"/>
        <v>303.16000000000003</v>
      </c>
    </row>
    <row r="119" spans="3:4" x14ac:dyDescent="0.25">
      <c r="C119" vm="221">
        <f ca="1"/>
        <v>45821</v>
      </c>
      <c r="D119" vm="222">
        <f ca="1"/>
        <v>301.91000000000003</v>
      </c>
    </row>
    <row r="120" spans="3:4" x14ac:dyDescent="0.25">
      <c r="C120" vm="223">
        <f ca="1"/>
        <v>45824</v>
      </c>
      <c r="D120" vm="224">
        <f ca="1"/>
        <v>296.29000000000002</v>
      </c>
    </row>
    <row r="121" spans="3:4" x14ac:dyDescent="0.25">
      <c r="C121" vm="225">
        <f ca="1"/>
        <v>45825</v>
      </c>
      <c r="D121" vm="226">
        <f ca="1"/>
        <v>292.31</v>
      </c>
    </row>
    <row r="122" spans="3:4" x14ac:dyDescent="0.25">
      <c r="C122" vm="227">
        <f ca="1"/>
        <v>45826</v>
      </c>
      <c r="D122" vm="228">
        <f ca="1"/>
        <v>289.63</v>
      </c>
    </row>
    <row r="123" spans="3:4" x14ac:dyDescent="0.25">
      <c r="C123" vm="229">
        <f ca="1"/>
        <v>45828</v>
      </c>
      <c r="D123" vm="230">
        <f ca="1"/>
        <v>287.45999999999998</v>
      </c>
    </row>
    <row r="124" spans="3:4" x14ac:dyDescent="0.25">
      <c r="C124" vm="231">
        <f ca="1"/>
        <v>45831</v>
      </c>
      <c r="D124" vm="232">
        <f ca="1"/>
        <v>289.52</v>
      </c>
    </row>
    <row r="125" spans="3:4" x14ac:dyDescent="0.25">
      <c r="C125" vm="233">
        <f ca="1"/>
        <v>45832</v>
      </c>
      <c r="D125" vm="234">
        <f ca="1"/>
        <v>291.47000000000003</v>
      </c>
    </row>
    <row r="126" spans="3:4" x14ac:dyDescent="0.25">
      <c r="C126" vm="235">
        <f ca="1"/>
        <v>45833</v>
      </c>
      <c r="D126" vm="236">
        <f ca="1"/>
        <v>285.55</v>
      </c>
    </row>
    <row r="127" spans="3:4" x14ac:dyDescent="0.25">
      <c r="C127" vm="237">
        <f ca="1"/>
        <v>45834</v>
      </c>
      <c r="D127" vm="238">
        <f ca="1"/>
        <v>285.63</v>
      </c>
    </row>
    <row r="128" spans="3:4" x14ac:dyDescent="0.25">
      <c r="C128" vm="239">
        <f ca="1"/>
        <v>45835</v>
      </c>
      <c r="D128" vm="240">
        <f ca="1"/>
        <v>291.55</v>
      </c>
    </row>
    <row r="129" spans="3:4" x14ac:dyDescent="0.25">
      <c r="C129" vm="241">
        <f ca="1"/>
        <v>45838</v>
      </c>
      <c r="D129" vm="242">
        <f ca="1"/>
        <v>292.17</v>
      </c>
    </row>
    <row r="130" spans="3:4" x14ac:dyDescent="0.25">
      <c r="C130" vm="243">
        <f ca="1"/>
        <v>45839</v>
      </c>
      <c r="D130" vm="244">
        <f ca="1"/>
        <v>297.49</v>
      </c>
    </row>
    <row r="131" spans="3:4" x14ac:dyDescent="0.25">
      <c r="C131" vm="245">
        <f ca="1"/>
        <v>45840</v>
      </c>
      <c r="D131" vm="246">
        <f ca="1"/>
        <v>294.63</v>
      </c>
    </row>
    <row r="132" spans="3:4" x14ac:dyDescent="0.25">
      <c r="C132" vm="247">
        <f ca="1"/>
        <v>45841</v>
      </c>
      <c r="D132" vm="248">
        <f ca="1"/>
        <v>294.08</v>
      </c>
    </row>
    <row r="133" spans="3:4" x14ac:dyDescent="0.25">
      <c r="C133" vm="249">
        <f ca="1"/>
        <v>45845</v>
      </c>
      <c r="D133" vm="250">
        <f ca="1"/>
        <v>293.52999999999997</v>
      </c>
    </row>
    <row r="134" spans="3:4" x14ac:dyDescent="0.25">
      <c r="C134" vm="251">
        <f ca="1"/>
        <v>45846</v>
      </c>
      <c r="D134" vm="252">
        <f ca="1"/>
        <v>291.67</v>
      </c>
    </row>
    <row r="135" spans="3:4" x14ac:dyDescent="0.25">
      <c r="C135" vm="253">
        <f ca="1"/>
        <v>45847</v>
      </c>
      <c r="D135" vm="254">
        <f ca="1"/>
        <v>293.02</v>
      </c>
    </row>
    <row r="136" spans="3:4" x14ac:dyDescent="0.25">
      <c r="C136" vm="255">
        <f ca="1"/>
        <v>45848</v>
      </c>
      <c r="D136" vm="256">
        <f ca="1"/>
        <v>298.39</v>
      </c>
    </row>
    <row r="137" spans="3:4" x14ac:dyDescent="0.25">
      <c r="C137" vm="257">
        <f ca="1"/>
        <v>45849</v>
      </c>
      <c r="D137" vm="258">
        <f ca="1"/>
        <v>299.91000000000003</v>
      </c>
    </row>
    <row r="138" spans="3:4" x14ac:dyDescent="0.25">
      <c r="C138" vm="259">
        <f ca="1"/>
        <v>45852</v>
      </c>
      <c r="D138" vm="260">
        <f ca="1"/>
        <v>301.88</v>
      </c>
    </row>
    <row r="139" spans="3:4" x14ac:dyDescent="0.25">
      <c r="C139" vm="261">
        <f ca="1"/>
        <v>45853</v>
      </c>
      <c r="D139" vm="262">
        <f ca="1"/>
        <v>299.62</v>
      </c>
    </row>
    <row r="140" spans="3:4" x14ac:dyDescent="0.25">
      <c r="C140" vm="263">
        <f ca="1"/>
        <v>45854</v>
      </c>
      <c r="D140" vm="264">
        <f ca="1"/>
        <v>298.89999999999998</v>
      </c>
    </row>
    <row r="141" spans="3:4" x14ac:dyDescent="0.25">
      <c r="C141" vm="265">
        <f ca="1"/>
        <v>45855</v>
      </c>
      <c r="D141" vm="266">
        <f ca="1"/>
        <v>300.37</v>
      </c>
    </row>
    <row r="142" spans="3:4" x14ac:dyDescent="0.25">
      <c r="C142" vm="267">
        <f ca="1"/>
        <v>45856</v>
      </c>
      <c r="D142" vm="268">
        <f ca="1"/>
        <v>297.07</v>
      </c>
    </row>
    <row r="143" spans="3:4" x14ac:dyDescent="0.25">
      <c r="C143" vm="269">
        <f ca="1"/>
        <v>45859</v>
      </c>
      <c r="D143" vm="270">
        <f ca="1"/>
        <v>295.74</v>
      </c>
    </row>
    <row r="144" spans="3:4" x14ac:dyDescent="0.25">
      <c r="C144" vm="271">
        <f ca="1"/>
        <v>45860</v>
      </c>
      <c r="D144" vm="272">
        <f ca="1"/>
        <v>299.17</v>
      </c>
    </row>
    <row r="145" spans="3:4" x14ac:dyDescent="0.25">
      <c r="C145" vm="273">
        <f ca="1"/>
        <v>45861</v>
      </c>
      <c r="D145" vm="274">
        <f ca="1"/>
        <v>298.12</v>
      </c>
    </row>
    <row r="146" spans="3:4" x14ac:dyDescent="0.25">
      <c r="C146" vm="275">
        <f ca="1"/>
        <v>45862</v>
      </c>
      <c r="D146" vm="276">
        <f ca="1"/>
        <v>294.48</v>
      </c>
    </row>
    <row r="147" spans="3:4" x14ac:dyDescent="0.25">
      <c r="C147" vm="277">
        <f ca="1"/>
        <v>45863</v>
      </c>
      <c r="D147" vm="278">
        <f ca="1"/>
        <v>298.47000000000003</v>
      </c>
    </row>
    <row r="148" spans="3:4" x14ac:dyDescent="0.25">
      <c r="C148" vm="279">
        <f ca="1"/>
        <v>45866</v>
      </c>
      <c r="D148" vm="280">
        <f ca="1"/>
        <v>299.22000000000003</v>
      </c>
    </row>
    <row r="149" spans="3:4" x14ac:dyDescent="0.25">
      <c r="C149" vm="281">
        <f ca="1"/>
        <v>45867</v>
      </c>
      <c r="D149" vm="282">
        <f ca="1"/>
        <v>302.67</v>
      </c>
    </row>
    <row r="150" spans="3:4" x14ac:dyDescent="0.25">
      <c r="C150" vm="283">
        <f ca="1"/>
        <v>45868</v>
      </c>
      <c r="D150" vm="284">
        <f ca="1"/>
        <v>303.61</v>
      </c>
    </row>
    <row r="151" spans="3:4" x14ac:dyDescent="0.25">
      <c r="C151" vm="285">
        <f ca="1"/>
        <v>45869</v>
      </c>
      <c r="D151" vm="286">
        <f ca="1"/>
        <v>300.07</v>
      </c>
    </row>
    <row r="152" spans="3:4" x14ac:dyDescent="0.25">
      <c r="C152" vm="287">
        <f ca="1"/>
        <v>45870</v>
      </c>
      <c r="D152" vm="288">
        <f ca="1"/>
        <v>302.89</v>
      </c>
    </row>
    <row r="153" spans="3:4" x14ac:dyDescent="0.25">
      <c r="C153" vm="289">
        <f ca="1"/>
        <v>45873</v>
      </c>
      <c r="D153" vm="290">
        <f ca="1"/>
        <v>304.23</v>
      </c>
    </row>
    <row r="154" spans="3:4" x14ac:dyDescent="0.25">
      <c r="C154" vm="291">
        <f ca="1"/>
        <v>45874</v>
      </c>
      <c r="D154" vm="292">
        <f ca="1"/>
        <v>298.77</v>
      </c>
    </row>
    <row r="155" spans="3:4" x14ac:dyDescent="0.25">
      <c r="C155" vm="293">
        <f ca="1"/>
        <v>45875</v>
      </c>
      <c r="D155" vm="294">
        <f ca="1"/>
        <v>307.66000000000003</v>
      </c>
    </row>
    <row r="156" spans="3:4" x14ac:dyDescent="0.25">
      <c r="C156" vm="295">
        <f ca="1"/>
        <v>45876</v>
      </c>
      <c r="D156" vm="296">
        <f ca="1"/>
        <v>307.91000000000003</v>
      </c>
    </row>
    <row r="157" spans="3:4" x14ac:dyDescent="0.25">
      <c r="C157" vm="297">
        <f ca="1"/>
        <v>45877</v>
      </c>
      <c r="D157" vm="298">
        <f ca="1"/>
        <v>305.45</v>
      </c>
    </row>
    <row r="158" spans="3:4" x14ac:dyDescent="0.25">
      <c r="C158" vm="299">
        <f ca="1"/>
        <v>45880</v>
      </c>
      <c r="D158" vm="300">
        <f ca="1"/>
        <v>304.36</v>
      </c>
    </row>
    <row r="159" spans="3:4" x14ac:dyDescent="0.25">
      <c r="C159" vm="301">
        <f ca="1"/>
        <v>45881</v>
      </c>
      <c r="D159" vm="302">
        <f ca="1"/>
        <v>301.64</v>
      </c>
    </row>
    <row r="160" spans="3:4" x14ac:dyDescent="0.25">
      <c r="C160" vm="303">
        <f ca="1"/>
        <v>45882</v>
      </c>
      <c r="D160" vm="304">
        <f ca="1"/>
        <v>305.07</v>
      </c>
    </row>
    <row r="161" spans="3:4" x14ac:dyDescent="0.25">
      <c r="C161" vm="305">
        <f ca="1"/>
        <v>45883</v>
      </c>
      <c r="D161" vm="306">
        <f ca="1"/>
        <v>308.95</v>
      </c>
    </row>
    <row r="162" spans="3:4" x14ac:dyDescent="0.25">
      <c r="C162" vm="307">
        <f ca="1"/>
        <v>45884</v>
      </c>
      <c r="D162" vm="308">
        <f ca="1"/>
        <v>308.93</v>
      </c>
    </row>
    <row r="163" spans="3:4" x14ac:dyDescent="0.25">
      <c r="C163" vm="309">
        <f ca="1"/>
        <v>45887</v>
      </c>
      <c r="D163" vm="310">
        <f ca="1"/>
        <v>308.7</v>
      </c>
    </row>
    <row r="164" spans="3:4" x14ac:dyDescent="0.25">
      <c r="C164" vm="311">
        <f ca="1"/>
        <v>45888</v>
      </c>
      <c r="D164" vm="312">
        <f ca="1"/>
        <v>310.93</v>
      </c>
    </row>
    <row r="165" spans="3:4" x14ac:dyDescent="0.25">
      <c r="C165" vm="313">
        <f ca="1"/>
        <v>45889</v>
      </c>
      <c r="D165" vm="314">
        <f ca="1"/>
        <v>313.08</v>
      </c>
    </row>
    <row r="166" spans="3:4" x14ac:dyDescent="0.25">
      <c r="C166" vm="315">
        <f ca="1"/>
        <v>45890</v>
      </c>
      <c r="D166" vm="316">
        <f ca="1"/>
        <v>313.22000000000003</v>
      </c>
    </row>
    <row r="167" spans="3:4" x14ac:dyDescent="0.25">
      <c r="C167" vm="317">
        <f ca="1"/>
        <v>45891</v>
      </c>
      <c r="D167" vm="318">
        <f ca="1"/>
        <v>314.07</v>
      </c>
    </row>
    <row r="168" spans="3:4" x14ac:dyDescent="0.25">
      <c r="C168" vm="319">
        <f ca="1"/>
        <v>45894</v>
      </c>
      <c r="D168" vm="320">
        <f ca="1"/>
        <v>313.44</v>
      </c>
    </row>
    <row r="169" spans="3:4" x14ac:dyDescent="0.25">
      <c r="C169" vm="321">
        <f ca="1"/>
        <v>45895</v>
      </c>
      <c r="D169" vm="322">
        <f ca="1"/>
        <v>312.94</v>
      </c>
    </row>
    <row r="170" spans="3:4" x14ac:dyDescent="0.25">
      <c r="C170" vm="323">
        <f ca="1"/>
        <v>45896</v>
      </c>
      <c r="D170" vm="324">
        <f ca="1"/>
        <v>311.43</v>
      </c>
    </row>
    <row r="171" spans="3:4" x14ac:dyDescent="0.25">
      <c r="C171" vm="325">
        <f ca="1"/>
        <v>45897</v>
      </c>
      <c r="D171" vm="326">
        <f ca="1"/>
        <v>312.22000000000003</v>
      </c>
    </row>
    <row r="172" spans="3:4" x14ac:dyDescent="0.25">
      <c r="C172" vm="327">
        <f ca="1"/>
        <v>45898</v>
      </c>
      <c r="D172" vm="328">
        <f ca="1"/>
        <v>313.54000000000002</v>
      </c>
    </row>
    <row r="173" spans="3:4" x14ac:dyDescent="0.25">
      <c r="C173" vm="329">
        <f ca="1"/>
        <v>45902</v>
      </c>
      <c r="D173" vm="330">
        <f ca="1"/>
        <v>315.76</v>
      </c>
    </row>
    <row r="174" spans="3:4" x14ac:dyDescent="0.25">
      <c r="C174" vm="331">
        <f ca="1"/>
        <v>45903</v>
      </c>
      <c r="D174" vm="332">
        <f ca="1"/>
        <v>316.39</v>
      </c>
    </row>
    <row r="175" spans="3:4" x14ac:dyDescent="0.25">
      <c r="C175" vm="333">
        <f ca="1"/>
        <v>45904</v>
      </c>
      <c r="D175" vm="334">
        <f ca="1"/>
        <v>316.99</v>
      </c>
    </row>
    <row r="176" spans="3:4" x14ac:dyDescent="0.25">
      <c r="C176" vm="335">
        <f ca="1"/>
        <v>45905</v>
      </c>
      <c r="D176" vm="336">
        <f ca="1"/>
        <v>314.38</v>
      </c>
    </row>
    <row r="177" spans="3:4" x14ac:dyDescent="0.25">
      <c r="C177" vm="337">
        <f ca="1"/>
        <v>45908</v>
      </c>
      <c r="D177" vm="338">
        <f ca="1"/>
        <v>312.8</v>
      </c>
    </row>
    <row r="178" spans="3:4" x14ac:dyDescent="0.25">
      <c r="C178" vm="339">
        <f ca="1"/>
        <v>45909</v>
      </c>
      <c r="D178" vm="340">
        <f ca="1"/>
        <v>312.52</v>
      </c>
    </row>
    <row r="179" spans="3:4" x14ac:dyDescent="0.25">
      <c r="C179" vm="341">
        <f ca="1"/>
        <v>45910</v>
      </c>
      <c r="D179" vm="342">
        <f ca="1"/>
        <v>305.94</v>
      </c>
    </row>
    <row r="180" spans="3:4" x14ac:dyDescent="0.25">
      <c r="C180" vm="343">
        <f ca="1"/>
        <v>45911</v>
      </c>
      <c r="D180" vm="344">
        <f ca="1"/>
        <v>308.43</v>
      </c>
    </row>
    <row r="181" spans="3:4" x14ac:dyDescent="0.25">
      <c r="C181" vm="345">
        <f ca="1"/>
        <v>45912</v>
      </c>
      <c r="D181" vm="346">
        <f ca="1"/>
        <v>305.39999999999998</v>
      </c>
    </row>
    <row r="182" spans="3:4" x14ac:dyDescent="0.25">
      <c r="C182" vm="347">
        <f ca="1"/>
        <v>45915</v>
      </c>
      <c r="D182" vm="348">
        <f ca="1"/>
        <v>302.07</v>
      </c>
    </row>
    <row r="183" spans="3:4" x14ac:dyDescent="0.25">
      <c r="C183" vm="349">
        <f ca="1"/>
        <v>45916</v>
      </c>
      <c r="D183" vm="350">
        <f ca="1"/>
        <v>303.29000000000002</v>
      </c>
    </row>
    <row r="184" spans="3:4" x14ac:dyDescent="0.25">
      <c r="C184" vm="351">
        <f ca="1"/>
        <v>45917</v>
      </c>
      <c r="D184" vm="352">
        <f ca="1"/>
        <v>304.97000000000003</v>
      </c>
    </row>
    <row r="185" spans="3:4" x14ac:dyDescent="0.25">
      <c r="C185" vm="353">
        <f ca="1"/>
        <v>45918</v>
      </c>
      <c r="D185" vm="354">
        <f ca="1"/>
        <v>301.14</v>
      </c>
    </row>
    <row r="186" spans="3:4" x14ac:dyDescent="0.25">
      <c r="C186" vm="355">
        <f ca="1"/>
        <v>45919</v>
      </c>
      <c r="D186" vm="356">
        <f ca="1"/>
        <v>302.38</v>
      </c>
    </row>
    <row r="187" spans="3:4" x14ac:dyDescent="0.25">
      <c r="C187" vm="357">
        <f ca="1"/>
        <v>45922</v>
      </c>
      <c r="D187" vm="358">
        <f ca="1"/>
        <v>302.99</v>
      </c>
    </row>
    <row r="188" spans="3:4" x14ac:dyDescent="0.25">
      <c r="C188" vm="359">
        <f ca="1"/>
        <v>45923</v>
      </c>
      <c r="D188" vm="360">
        <f ca="1"/>
        <v>303.19</v>
      </c>
    </row>
    <row r="189" spans="3:4" x14ac:dyDescent="0.25">
      <c r="C189" vm="361">
        <f ca="1"/>
        <v>45924</v>
      </c>
      <c r="D189" vm="362">
        <f ca="1"/>
        <v>304.33</v>
      </c>
    </row>
    <row r="190" spans="3:4" x14ac:dyDescent="0.25">
      <c r="C190" vm="363">
        <f ca="1"/>
        <v>45925</v>
      </c>
      <c r="D190" vm="364">
        <f ca="1"/>
        <v>302.3</v>
      </c>
    </row>
    <row r="191" spans="3:4" x14ac:dyDescent="0.25">
      <c r="C191" vm="365">
        <f ca="1"/>
        <v>45926</v>
      </c>
      <c r="D191" vm="366">
        <f ca="1"/>
        <v>305.24</v>
      </c>
    </row>
    <row r="192" spans="3:4" x14ac:dyDescent="0.25">
      <c r="C192" vm="367">
        <f ca="1"/>
        <v>45929</v>
      </c>
      <c r="D192" vm="358">
        <f ca="1"/>
        <v>302.99</v>
      </c>
    </row>
    <row r="193" spans="3:4" x14ac:dyDescent="0.25">
      <c r="C193" vm="368">
        <f ca="1"/>
        <v>45930</v>
      </c>
      <c r="D193" vm="369">
        <f ca="1"/>
        <v>303.89</v>
      </c>
    </row>
    <row r="194" spans="3:4" x14ac:dyDescent="0.25">
      <c r="C194" vm="370">
        <f ca="1"/>
        <v>45931</v>
      </c>
      <c r="D194" vm="371">
        <f ca="1"/>
        <v>300.52</v>
      </c>
    </row>
    <row r="195" spans="3:4" x14ac:dyDescent="0.25">
      <c r="C195" vm="372">
        <f ca="1"/>
        <v>45932</v>
      </c>
      <c r="D195" vm="373">
        <f ca="1"/>
        <v>299.88</v>
      </c>
    </row>
    <row r="196" spans="3:4" x14ac:dyDescent="0.25">
      <c r="C196" vm="374">
        <f ca="1"/>
        <v>45933</v>
      </c>
      <c r="D196" vm="375">
        <f ca="1"/>
        <v>300.98</v>
      </c>
    </row>
    <row r="197" spans="3:4" x14ac:dyDescent="0.25">
      <c r="C197" vm="376">
        <f ca="1"/>
        <v>45936</v>
      </c>
      <c r="D197" vm="377">
        <f ca="1"/>
        <v>296.04000000000002</v>
      </c>
    </row>
    <row r="198" spans="3:4" x14ac:dyDescent="0.25">
      <c r="C198" vm="378">
        <f ca="1"/>
        <v>45937</v>
      </c>
      <c r="D198" vm="379">
        <f ca="1"/>
        <v>296.32</v>
      </c>
    </row>
    <row r="199" spans="3:4" x14ac:dyDescent="0.25">
      <c r="C199" vm="380">
        <f ca="1"/>
        <v>45938</v>
      </c>
      <c r="D199" vm="381">
        <f ca="1"/>
        <v>294.39999999999998</v>
      </c>
    </row>
    <row r="200" spans="3:4" x14ac:dyDescent="0.25">
      <c r="C200" vm="382">
        <f ca="1"/>
        <v>45939</v>
      </c>
      <c r="D200" vm="383">
        <f ca="1"/>
        <v>293.81</v>
      </c>
    </row>
    <row r="201" spans="3:4" x14ac:dyDescent="0.25">
      <c r="C201" vm="384">
        <f ca="1"/>
        <v>45940</v>
      </c>
      <c r="D201" vm="385">
        <f ca="1"/>
        <v>297.01</v>
      </c>
    </row>
    <row r="202" spans="3:4" x14ac:dyDescent="0.25">
      <c r="C202" vm="386">
        <f ca="1"/>
        <v>45943</v>
      </c>
      <c r="D202" vm="127">
        <f ca="1"/>
        <v>300.11</v>
      </c>
    </row>
    <row r="203" spans="3:4" x14ac:dyDescent="0.25">
      <c r="C203" vm="387">
        <f ca="1"/>
        <v>45944</v>
      </c>
      <c r="D203" vm="388">
        <f ca="1"/>
        <v>304.56</v>
      </c>
    </row>
    <row r="204" spans="3:4" x14ac:dyDescent="0.25">
      <c r="C204" vm="389">
        <f ca="1"/>
        <v>45945</v>
      </c>
      <c r="D204" vm="390">
        <f ca="1"/>
        <v>305.25</v>
      </c>
    </row>
    <row r="205" spans="3:4" x14ac:dyDescent="0.25">
      <c r="C205" vm="391">
        <f ca="1"/>
        <v>45946</v>
      </c>
      <c r="D205" vm="392">
        <f ca="1"/>
        <v>305.33</v>
      </c>
    </row>
    <row r="206" spans="3:4" x14ac:dyDescent="0.25">
      <c r="C206" vm="393">
        <f ca="1"/>
        <v>45947</v>
      </c>
      <c r="D206" vm="394">
        <f ca="1"/>
        <v>308.08999999999997</v>
      </c>
    </row>
    <row r="207" spans="3:4" x14ac:dyDescent="0.25">
      <c r="C207" vm="395">
        <f ca="1"/>
        <v>45950</v>
      </c>
      <c r="D207" vm="396">
        <f ca="1"/>
        <v>307.77</v>
      </c>
    </row>
    <row r="208" spans="3:4" x14ac:dyDescent="0.25">
      <c r="C208" vm="397">
        <f ca="1"/>
        <v>45951</v>
      </c>
      <c r="D208" vm="398">
        <f ca="1"/>
        <v>307.48</v>
      </c>
    </row>
    <row r="209" spans="3:4" x14ac:dyDescent="0.25">
      <c r="C209" vm="399">
        <f ca="1"/>
        <v>45952</v>
      </c>
      <c r="D209" vm="400">
        <f ca="1"/>
        <v>310.11</v>
      </c>
    </row>
    <row r="210" spans="3:4" x14ac:dyDescent="0.25">
      <c r="C210" vm="401">
        <f ca="1"/>
        <v>45953</v>
      </c>
      <c r="D210" vm="402">
        <f ca="1"/>
        <v>306.97000000000003</v>
      </c>
    </row>
    <row r="211" spans="3:4" x14ac:dyDescent="0.25">
      <c r="C211" vm="403">
        <f ca="1"/>
        <v>45954</v>
      </c>
      <c r="D211" vm="404">
        <f ca="1"/>
        <v>305.79000000000002</v>
      </c>
    </row>
    <row r="212" spans="3:4" x14ac:dyDescent="0.25">
      <c r="C212" vm="405">
        <f ca="1"/>
        <v>45957</v>
      </c>
      <c r="D212" vm="406">
        <f ca="1"/>
        <v>310</v>
      </c>
    </row>
    <row r="213" spans="3:4" x14ac:dyDescent="0.25">
      <c r="C213" vm="407">
        <f ca="1"/>
        <v>45958</v>
      </c>
      <c r="D213" vm="408">
        <f ca="1"/>
        <v>306.39999999999998</v>
      </c>
    </row>
    <row r="214" spans="3:4" x14ac:dyDescent="0.25">
      <c r="C214" vm="409">
        <f ca="1"/>
        <v>45959</v>
      </c>
      <c r="D214" vm="410">
        <f ca="1"/>
        <v>302.35000000000002</v>
      </c>
    </row>
    <row r="215" spans="3:4" x14ac:dyDescent="0.25">
      <c r="C215" vm="411">
        <f ca="1"/>
        <v>45960</v>
      </c>
      <c r="D215" vm="412">
        <f ca="1"/>
        <v>302.43</v>
      </c>
    </row>
    <row r="216" spans="3:4" x14ac:dyDescent="0.25">
      <c r="C216" vm="413">
        <f ca="1"/>
        <v>45961</v>
      </c>
      <c r="D216" vm="414">
        <f ca="1"/>
        <v>298.43</v>
      </c>
    </row>
    <row r="217" spans="3:4" x14ac:dyDescent="0.25">
      <c r="C217" vm="415">
        <f ca="1"/>
        <v>45964</v>
      </c>
      <c r="D217" vm="416">
        <f ca="1"/>
        <v>296.37</v>
      </c>
    </row>
    <row r="218" spans="3:4" x14ac:dyDescent="0.25">
      <c r="C218" vm="417">
        <f ca="1"/>
        <v>45965</v>
      </c>
      <c r="D218" vm="418">
        <f ca="1"/>
        <v>299.20999999999998</v>
      </c>
    </row>
    <row r="219" spans="3:4" x14ac:dyDescent="0.25">
      <c r="C219" vm="419">
        <f ca="1"/>
        <v>45966</v>
      </c>
      <c r="D219" vm="110">
        <f ca="1"/>
        <v>305.67</v>
      </c>
    </row>
    <row r="220" spans="3:4" x14ac:dyDescent="0.25">
      <c r="C220" vm="420">
        <f ca="1"/>
        <v>45967</v>
      </c>
      <c r="D220" vm="421">
        <f ca="1"/>
        <v>298.41000000000003</v>
      </c>
    </row>
    <row r="221" spans="3:4" x14ac:dyDescent="0.25">
      <c r="C221" vm="422">
        <f ca="1"/>
        <v>45968</v>
      </c>
      <c r="D221" vm="423">
        <f ca="1"/>
        <v>299.66000000000003</v>
      </c>
    </row>
    <row r="222" spans="3:4" x14ac:dyDescent="0.25">
      <c r="C222" vm="424">
        <f ca="1"/>
        <v>45971</v>
      </c>
      <c r="D222" vm="425">
        <f ca="1"/>
        <v>299.10000000000002</v>
      </c>
    </row>
    <row r="223" spans="3:4" x14ac:dyDescent="0.25">
      <c r="C223" vm="426">
        <f ca="1"/>
        <v>45972</v>
      </c>
      <c r="D223" vm="427">
        <f ca="1"/>
        <v>306.83</v>
      </c>
    </row>
    <row r="224" spans="3:4" x14ac:dyDescent="0.25">
      <c r="C224" vm="428">
        <f ca="1"/>
        <v>45973</v>
      </c>
      <c r="D224" vm="429">
        <f ca="1"/>
        <v>306.94</v>
      </c>
    </row>
    <row r="225" spans="3:4" x14ac:dyDescent="0.25">
      <c r="C225" vm="430">
        <f ca="1"/>
        <v>45974</v>
      </c>
      <c r="D225" vm="431">
        <f ca="1"/>
        <v>307.58</v>
      </c>
    </row>
    <row r="226" spans="3:4" x14ac:dyDescent="0.25">
      <c r="C226" vm="432">
        <f ca="1"/>
        <v>45975</v>
      </c>
      <c r="D226" vm="433">
        <f ca="1"/>
        <v>307.02999999999997</v>
      </c>
    </row>
    <row r="227" spans="3:4" x14ac:dyDescent="0.25">
      <c r="C227" vm="434">
        <f ca="1"/>
        <v>45978</v>
      </c>
      <c r="D227" vm="435">
        <f ca="1"/>
        <v>304.89999999999998</v>
      </c>
    </row>
    <row r="228" spans="3:4" x14ac:dyDescent="0.25">
      <c r="C228" vm="436">
        <f ca="1"/>
        <v>45979</v>
      </c>
      <c r="D228" vm="437">
        <f ca="1"/>
        <v>304.58999999999997</v>
      </c>
    </row>
    <row r="229" spans="3:4" x14ac:dyDescent="0.25">
      <c r="C229" vm="438">
        <f ca="1"/>
        <v>45980</v>
      </c>
      <c r="D229" vm="439">
        <f ca="1"/>
        <v>302.74</v>
      </c>
    </row>
    <row r="230" spans="3:4" x14ac:dyDescent="0.25">
      <c r="C230" vm="440">
        <f ca="1"/>
        <v>45981</v>
      </c>
      <c r="D230" vm="441">
        <f ca="1"/>
        <v>304.16000000000003</v>
      </c>
    </row>
    <row r="231" spans="3:4" x14ac:dyDescent="0.25">
      <c r="C231" vm="442">
        <f ca="1"/>
        <v>45982</v>
      </c>
      <c r="D231" vm="443">
        <f ca="1"/>
        <v>309.35000000000002</v>
      </c>
    </row>
    <row r="232" spans="3:4" x14ac:dyDescent="0.25">
      <c r="C232" vm="444">
        <f ca="1"/>
        <v>45985</v>
      </c>
      <c r="D232" vm="435">
        <f ca="1"/>
        <v>304.89999999999998</v>
      </c>
    </row>
    <row r="233" spans="3:4" x14ac:dyDescent="0.25">
      <c r="C233" vm="445">
        <f ca="1"/>
        <v>45986</v>
      </c>
      <c r="D233" vm="446">
        <f ca="1"/>
        <v>310.45</v>
      </c>
    </row>
    <row r="234" spans="3:4" x14ac:dyDescent="0.25">
      <c r="C234" vm="447">
        <f ca="1"/>
        <v>45987</v>
      </c>
      <c r="D234" vm="448">
        <f ca="1"/>
        <v>312.39999999999998</v>
      </c>
    </row>
    <row r="235" spans="3:4" x14ac:dyDescent="0.25">
      <c r="C235" vm="449">
        <f ca="1"/>
        <v>45989</v>
      </c>
      <c r="D235" vm="450">
        <f ca="1"/>
        <v>311.82</v>
      </c>
    </row>
    <row r="236" spans="3:4" x14ac:dyDescent="0.25">
      <c r="C236" vm="451">
        <f ca="1"/>
        <v>45992</v>
      </c>
      <c r="D236" vm="452">
        <f ca="1"/>
        <v>303.57</v>
      </c>
    </row>
    <row r="237" spans="3:4" x14ac:dyDescent="0.25">
      <c r="C237" vm="453">
        <f ca="1"/>
        <v>45993</v>
      </c>
      <c r="D237" vm="454">
        <f ca="1"/>
        <v>300.72000000000003</v>
      </c>
    </row>
    <row r="238" spans="3:4" x14ac:dyDescent="0.25">
      <c r="C238" vm="455">
        <f ca="1"/>
        <v>45994</v>
      </c>
      <c r="D238" vm="456">
        <f ca="1"/>
        <v>307.70999999999998</v>
      </c>
    </row>
    <row r="239" spans="3:4" x14ac:dyDescent="0.25">
      <c r="C239" vm="457">
        <f ca="1"/>
        <v>45995</v>
      </c>
      <c r="D239" vm="458">
        <f ca="1"/>
        <v>308.54000000000002</v>
      </c>
    </row>
    <row r="240" spans="3:4" x14ac:dyDescent="0.25">
      <c r="C240" vm="459">
        <f ca="1"/>
        <v>45996</v>
      </c>
      <c r="D240" vm="460">
        <f ca="1"/>
        <v>311.23</v>
      </c>
    </row>
    <row r="241" spans="3:4" x14ac:dyDescent="0.25">
      <c r="C241" vm="461">
        <f ca="1"/>
        <v>45999</v>
      </c>
      <c r="D241" vm="462">
        <f ca="1"/>
        <v>309.79000000000002</v>
      </c>
    </row>
    <row r="242" spans="3:4" x14ac:dyDescent="0.25">
      <c r="C242" vm="463">
        <f ca="1"/>
        <v>46000</v>
      </c>
      <c r="D242" vm="464">
        <f ca="1"/>
        <v>310.79000000000002</v>
      </c>
    </row>
    <row r="243" spans="3:4" x14ac:dyDescent="0.25">
      <c r="C243" vm="465">
        <f ca="1"/>
        <v>46001</v>
      </c>
      <c r="D243" vm="466">
        <f ca="1"/>
        <v>310.52999999999997</v>
      </c>
    </row>
    <row r="244" spans="3:4" x14ac:dyDescent="0.25">
      <c r="C244" vm="467">
        <f ca="1"/>
        <v>46002</v>
      </c>
      <c r="D244" vm="468">
        <f ca="1"/>
        <v>309.70999999999998</v>
      </c>
    </row>
    <row r="245" spans="3:4" x14ac:dyDescent="0.25">
      <c r="C245" vm="469">
        <f ca="1"/>
        <v>46003</v>
      </c>
      <c r="D245" vm="470">
        <f ca="1"/>
        <v>316.72000000000003</v>
      </c>
    </row>
    <row r="246" spans="3:4" x14ac:dyDescent="0.25">
      <c r="C246" vm="471">
        <f ca="1"/>
        <v>46006</v>
      </c>
      <c r="D246" vm="472">
        <f ca="1"/>
        <v>318.73</v>
      </c>
    </row>
    <row r="247" spans="3:4" x14ac:dyDescent="0.25">
      <c r="C247" vm="473">
        <f ca="1"/>
        <v>46007</v>
      </c>
      <c r="D247" vm="158">
        <f ca="1"/>
        <v>314.5</v>
      </c>
    </row>
    <row r="248" spans="3:4" x14ac:dyDescent="0.25">
      <c r="C248" vm="474">
        <f ca="1"/>
        <v>46008</v>
      </c>
      <c r="D248" vm="475">
        <f ca="1"/>
        <v>318.69</v>
      </c>
    </row>
    <row r="249" spans="3:4" x14ac:dyDescent="0.25">
      <c r="C249" vm="476">
        <f ca="1"/>
        <v>46009</v>
      </c>
      <c r="D249" vm="160">
        <f ca="1"/>
        <v>319.64999999999998</v>
      </c>
    </row>
    <row r="250" spans="3:4" x14ac:dyDescent="0.25">
      <c r="C250" vm="477">
        <f ca="1"/>
        <v>46010</v>
      </c>
      <c r="D250" vm="478">
        <f ca="1"/>
        <v>315.83999999999997</v>
      </c>
    </row>
    <row r="251" spans="3:4" x14ac:dyDescent="0.25">
      <c r="C251" vm="479">
        <f ca="1"/>
        <v>46013</v>
      </c>
      <c r="D251" vm="152">
        <f ca="1"/>
        <v>316.22000000000003</v>
      </c>
    </row>
    <row r="252" spans="3:4" x14ac:dyDescent="0.25">
      <c r="C252" vm="480">
        <f ca="1"/>
        <v>46014</v>
      </c>
      <c r="D252" vm="481">
        <f ca="1"/>
        <v>310.83999999999997</v>
      </c>
    </row>
    <row r="253" spans="3:4" x14ac:dyDescent="0.25">
      <c r="C253" vm="482">
        <f ca="1"/>
        <v>46015</v>
      </c>
      <c r="D253" vm="483">
        <f ca="1"/>
        <v>313.33</v>
      </c>
    </row>
    <row r="254" spans="3:4" x14ac:dyDescent="0.25">
      <c r="C254" vm="484">
        <f ca="1"/>
        <v>46017</v>
      </c>
      <c r="D254" vm="485">
        <f ca="1"/>
        <v>310.68</v>
      </c>
    </row>
    <row r="255" spans="3:4" x14ac:dyDescent="0.25">
      <c r="C255" vm="486">
        <f ca="1"/>
        <v>46020</v>
      </c>
      <c r="D255" vm="487">
        <f ca="1"/>
        <v>308.52999999999997</v>
      </c>
    </row>
    <row r="256" spans="3:4" x14ac:dyDescent="0.25">
      <c r="C256" vm="488">
        <f ca="1"/>
        <v>46021</v>
      </c>
      <c r="D256" vm="489">
        <f ca="1"/>
        <v>308.02999999999997</v>
      </c>
    </row>
    <row r="257" spans="3:4" x14ac:dyDescent="0.25">
      <c r="C257" vm="490">
        <f ca="1"/>
        <v>46022</v>
      </c>
      <c r="D257" vm="491">
        <f ca="1"/>
        <v>305.63</v>
      </c>
    </row>
  </sheetData>
  <conditionalFormatting sqref="R8:R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C3BA-C0E5-4447-8E74-EE06D32BD874}">
  <dimension ref="B2:L68"/>
  <sheetViews>
    <sheetView showGridLines="0" zoomScaleNormal="100" workbookViewId="0">
      <selection activeCell="I3" sqref="I3"/>
    </sheetView>
  </sheetViews>
  <sheetFormatPr defaultRowHeight="15" x14ac:dyDescent="0.25"/>
  <cols>
    <col min="1" max="1" width="9.140625" customWidth="1"/>
    <col min="2" max="2" width="49.5703125" customWidth="1"/>
  </cols>
  <sheetData>
    <row r="2" spans="2:12" x14ac:dyDescent="0.25">
      <c r="B2" s="74" t="s">
        <v>17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2:12" x14ac:dyDescent="0.25">
      <c r="B3" s="74" t="s">
        <v>27</v>
      </c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2:12" x14ac:dyDescent="0.25">
      <c r="B4" s="74" t="s">
        <v>28</v>
      </c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2:12" x14ac:dyDescent="0.25">
      <c r="B5" s="74"/>
      <c r="C5" s="74" t="s">
        <v>29</v>
      </c>
      <c r="D5" s="74" t="s">
        <v>30</v>
      </c>
      <c r="E5" s="74" t="s">
        <v>31</v>
      </c>
      <c r="F5" s="74" t="s">
        <v>32</v>
      </c>
      <c r="G5" s="74" t="s">
        <v>33</v>
      </c>
      <c r="H5" s="74" t="s">
        <v>34</v>
      </c>
      <c r="I5" s="74" t="s">
        <v>35</v>
      </c>
      <c r="J5" s="74" t="s">
        <v>36</v>
      </c>
      <c r="K5" s="74" t="s">
        <v>37</v>
      </c>
      <c r="L5" s="74" t="s">
        <v>38</v>
      </c>
    </row>
    <row r="6" spans="2:12" x14ac:dyDescent="0.25">
      <c r="B6" s="74"/>
      <c r="C6" s="74"/>
      <c r="D6" s="74"/>
      <c r="E6" s="74"/>
      <c r="F6" s="74"/>
      <c r="G6" s="74" t="s">
        <v>41</v>
      </c>
      <c r="H6" s="74"/>
      <c r="I6" s="74"/>
      <c r="J6" s="74"/>
      <c r="K6" s="74"/>
      <c r="L6" s="74"/>
    </row>
    <row r="7" spans="2:12" x14ac:dyDescent="0.25">
      <c r="B7" s="75" t="s">
        <v>159</v>
      </c>
      <c r="C7" s="75"/>
      <c r="D7" s="75"/>
      <c r="E7" s="75"/>
      <c r="F7" s="75"/>
      <c r="G7" s="75"/>
      <c r="H7" s="75"/>
      <c r="I7" s="75"/>
      <c r="J7" s="75"/>
      <c r="K7" s="75"/>
      <c r="L7" s="75"/>
    </row>
    <row r="8" spans="2:12" x14ac:dyDescent="0.25">
      <c r="B8" s="30" t="s">
        <v>160</v>
      </c>
      <c r="C8" s="18">
        <v>7074.9332059999997</v>
      </c>
      <c r="D8" s="18">
        <v>1159.8957330000001</v>
      </c>
      <c r="E8" s="18">
        <v>2051.79882</v>
      </c>
      <c r="F8" s="18">
        <v>757.55586600000004</v>
      </c>
      <c r="G8" s="18">
        <v>800.44544099999996</v>
      </c>
      <c r="H8" s="18">
        <v>2818.928535</v>
      </c>
      <c r="I8" s="18">
        <v>4141.0482430000002</v>
      </c>
      <c r="J8" s="18">
        <v>2420.9885060000001</v>
      </c>
      <c r="K8" s="18">
        <v>4145.4760729999998</v>
      </c>
      <c r="L8" s="18">
        <v>1047.802964</v>
      </c>
    </row>
    <row r="9" spans="2:12" x14ac:dyDescent="0.25">
      <c r="B9" s="76" t="s">
        <v>161</v>
      </c>
      <c r="C9" s="77">
        <v>7074.9332059999997</v>
      </c>
      <c r="D9" s="77">
        <v>1159.8957330000001</v>
      </c>
      <c r="E9" s="77">
        <v>2051.79882</v>
      </c>
      <c r="F9" s="77">
        <v>757.55586600000004</v>
      </c>
      <c r="G9" s="77">
        <v>800.44544099999996</v>
      </c>
      <c r="H9" s="77">
        <v>2818.928535</v>
      </c>
      <c r="I9" s="77">
        <v>4141.0482430000002</v>
      </c>
      <c r="J9" s="77">
        <v>2420.9885060000001</v>
      </c>
      <c r="K9" s="77">
        <v>4145.4760729999998</v>
      </c>
      <c r="L9" s="77">
        <v>1047.802964</v>
      </c>
    </row>
    <row r="10" spans="2:12" x14ac:dyDescent="0.25">
      <c r="B10" s="30" t="s">
        <v>162</v>
      </c>
      <c r="C10" s="18">
        <v>1195.526089</v>
      </c>
      <c r="D10" s="18">
        <v>1397.5823929999999</v>
      </c>
      <c r="E10" s="18">
        <v>1645.736191</v>
      </c>
      <c r="F10" s="18">
        <v>2135.7651810000002</v>
      </c>
      <c r="G10" s="18">
        <v>1981.469949</v>
      </c>
      <c r="H10" s="18">
        <v>1724.735406</v>
      </c>
      <c r="I10" s="18">
        <v>1646.500198</v>
      </c>
      <c r="J10" s="18">
        <v>1981.7287289999999</v>
      </c>
      <c r="K10" s="18">
        <v>2252.2971779999998</v>
      </c>
      <c r="L10" s="18">
        <v>2301.3036529999999</v>
      </c>
    </row>
    <row r="11" spans="2:12" x14ac:dyDescent="0.25">
      <c r="B11" s="78" t="s">
        <v>163</v>
      </c>
      <c r="C11" s="79">
        <v>1195.526089</v>
      </c>
      <c r="D11" s="79">
        <v>1397.5823929999999</v>
      </c>
      <c r="E11" s="79">
        <v>1645.736191</v>
      </c>
      <c r="F11" s="79">
        <v>2135.7651810000002</v>
      </c>
      <c r="G11" s="79">
        <v>1981.469949</v>
      </c>
      <c r="H11" s="79">
        <v>1724.735406</v>
      </c>
      <c r="I11" s="79">
        <v>1646.500198</v>
      </c>
      <c r="J11" s="79">
        <v>1981.7287289999999</v>
      </c>
      <c r="K11" s="79">
        <v>2252.2971779999998</v>
      </c>
      <c r="L11" s="79">
        <v>2301.3036529999999</v>
      </c>
    </row>
    <row r="12" spans="2:12" x14ac:dyDescent="0.25">
      <c r="B12" s="80" t="s">
        <v>164</v>
      </c>
      <c r="C12" s="81">
        <v>1195.526089</v>
      </c>
      <c r="D12" s="81">
        <v>1397.5823929999999</v>
      </c>
      <c r="E12" s="81">
        <v>1645.736191</v>
      </c>
      <c r="F12" s="81">
        <v>2135.7651810000002</v>
      </c>
      <c r="G12" s="81">
        <v>1981.469949</v>
      </c>
      <c r="H12" s="81">
        <v>1724.735406</v>
      </c>
      <c r="I12" s="81">
        <v>1646.500198</v>
      </c>
      <c r="J12" s="81">
        <v>1981.7287289999999</v>
      </c>
      <c r="K12" s="81">
        <v>2252.2971779999998</v>
      </c>
      <c r="L12" s="81">
        <v>2301.3036529999999</v>
      </c>
    </row>
    <row r="13" spans="2:12" x14ac:dyDescent="0.25">
      <c r="B13" s="82" t="s">
        <v>165</v>
      </c>
      <c r="C13" s="79">
        <v>92.147655999999998</v>
      </c>
      <c r="D13" s="79">
        <v>55.842618000000002</v>
      </c>
      <c r="E13" s="79">
        <v>48.967356000000002</v>
      </c>
      <c r="F13" s="79">
        <v>44.701045000000001</v>
      </c>
      <c r="G13" s="79">
        <v>44.721603999999999</v>
      </c>
      <c r="H13" s="79">
        <v>41.763719999999999</v>
      </c>
      <c r="I13" s="79">
        <v>48.892015999999998</v>
      </c>
      <c r="J13" s="79">
        <v>48.723354</v>
      </c>
      <c r="K13" s="79">
        <v>47.797947000000001</v>
      </c>
      <c r="L13" s="79">
        <v>54.080153000000003</v>
      </c>
    </row>
    <row r="14" spans="2:12" x14ac:dyDescent="0.25">
      <c r="B14" s="83" t="s">
        <v>166</v>
      </c>
      <c r="C14" s="81">
        <v>92.147655999999998</v>
      </c>
      <c r="D14" s="81">
        <v>55.842618000000002</v>
      </c>
      <c r="E14" s="81">
        <v>48.967356000000002</v>
      </c>
      <c r="F14" s="81">
        <v>44.701045000000001</v>
      </c>
      <c r="G14" s="81">
        <v>44.721603999999999</v>
      </c>
      <c r="H14" s="81">
        <v>41.763719999999999</v>
      </c>
      <c r="I14" s="81">
        <v>48.892015999999998</v>
      </c>
      <c r="J14" s="81">
        <v>48.723354</v>
      </c>
      <c r="K14" s="84"/>
      <c r="L14" s="84"/>
    </row>
    <row r="15" spans="2:12" x14ac:dyDescent="0.25">
      <c r="B15" s="82" t="s">
        <v>167</v>
      </c>
      <c r="C15" s="79">
        <v>514.31464200000005</v>
      </c>
      <c r="D15" s="79">
        <v>1983.5980480000001</v>
      </c>
      <c r="E15" s="79">
        <v>689.873424</v>
      </c>
      <c r="F15" s="79">
        <v>607.61928899999998</v>
      </c>
      <c r="G15" s="79">
        <v>342.98441300000002</v>
      </c>
      <c r="H15" s="79">
        <v>517.10187699999994</v>
      </c>
      <c r="I15" s="79">
        <v>449.613091</v>
      </c>
      <c r="J15" s="79">
        <v>630.96743600000002</v>
      </c>
      <c r="K15" s="79">
        <v>784.230324</v>
      </c>
      <c r="L15" s="79">
        <v>1037.180077</v>
      </c>
    </row>
    <row r="16" spans="2:12" x14ac:dyDescent="0.25">
      <c r="B16" s="83" t="s">
        <v>168</v>
      </c>
      <c r="C16" s="81">
        <v>514.31464200000005</v>
      </c>
      <c r="D16" s="81">
        <v>1983.5980480000001</v>
      </c>
      <c r="E16" s="81">
        <v>689.873424</v>
      </c>
      <c r="F16" s="81">
        <v>607.61928899999998</v>
      </c>
      <c r="G16" s="81">
        <v>342.98441300000002</v>
      </c>
      <c r="H16" s="81">
        <v>517.10187699999994</v>
      </c>
      <c r="I16" s="81">
        <v>449.613091</v>
      </c>
      <c r="J16" s="81">
        <v>630.96743600000002</v>
      </c>
      <c r="K16" s="81">
        <v>784.230324</v>
      </c>
      <c r="L16" s="81">
        <v>1037.180077</v>
      </c>
    </row>
    <row r="17" spans="2:12" x14ac:dyDescent="0.25">
      <c r="B17" s="85" t="s">
        <v>169</v>
      </c>
      <c r="C17" s="77">
        <v>8876.9215929999991</v>
      </c>
      <c r="D17" s="77">
        <v>4596.9187929999998</v>
      </c>
      <c r="E17" s="77">
        <v>4436.3757919999998</v>
      </c>
      <c r="F17" s="77">
        <v>3545.6413819999998</v>
      </c>
      <c r="G17" s="77">
        <v>3169.6214070000001</v>
      </c>
      <c r="H17" s="77">
        <v>5102.5295390000001</v>
      </c>
      <c r="I17" s="77">
        <v>6286.0535479999999</v>
      </c>
      <c r="J17" s="77">
        <v>5082.4080249999997</v>
      </c>
      <c r="K17" s="77">
        <v>7229.8015210000003</v>
      </c>
      <c r="L17" s="77">
        <v>4440.3668470000002</v>
      </c>
    </row>
    <row r="18" spans="2:12" x14ac:dyDescent="0.25">
      <c r="B18" s="30" t="s">
        <v>170</v>
      </c>
      <c r="C18" s="18">
        <v>21281.045589000001</v>
      </c>
      <c r="D18" s="18">
        <v>20154.160155000001</v>
      </c>
      <c r="E18" s="18">
        <v>18694.453874999999</v>
      </c>
      <c r="F18" s="18">
        <v>19982.241782000001</v>
      </c>
      <c r="G18" s="18">
        <v>33337.372211000002</v>
      </c>
      <c r="H18" s="18">
        <v>31699.481103999999</v>
      </c>
      <c r="I18" s="18">
        <v>33655.118279000002</v>
      </c>
      <c r="J18" s="18">
        <v>34049.472725</v>
      </c>
      <c r="K18" s="18">
        <v>34782.058754999998</v>
      </c>
      <c r="L18" s="18">
        <v>37309.511259999999</v>
      </c>
    </row>
    <row r="19" spans="2:12" x14ac:dyDescent="0.25">
      <c r="B19" s="78" t="s">
        <v>171</v>
      </c>
      <c r="C19" s="79">
        <v>34697.965306999999</v>
      </c>
      <c r="D19" s="79">
        <v>32655.511435</v>
      </c>
      <c r="E19" s="79">
        <v>30501.665846</v>
      </c>
      <c r="F19" s="79">
        <v>32536.062196999999</v>
      </c>
      <c r="G19" s="79">
        <v>46603.207509</v>
      </c>
      <c r="H19" s="79">
        <v>45199.787625999998</v>
      </c>
      <c r="I19" s="79">
        <v>48776.469166000003</v>
      </c>
      <c r="J19" s="79">
        <v>50225.626285999999</v>
      </c>
      <c r="K19" s="79">
        <v>51676.460226000003</v>
      </c>
      <c r="L19" s="79">
        <v>55544.179987000003</v>
      </c>
    </row>
    <row r="20" spans="2:12" x14ac:dyDescent="0.25">
      <c r="B20" s="80" t="s">
        <v>172</v>
      </c>
      <c r="C20" s="81">
        <v>24767.191194999999</v>
      </c>
      <c r="D20" s="81">
        <v>23898.649444999999</v>
      </c>
      <c r="E20" s="81">
        <v>22723.268037000002</v>
      </c>
      <c r="F20" s="81">
        <v>24704.544128000001</v>
      </c>
      <c r="G20" s="81">
        <v>26378.263021999999</v>
      </c>
      <c r="H20" s="81">
        <v>25812.921487</v>
      </c>
      <c r="I20" s="81">
        <v>28094.706668999999</v>
      </c>
      <c r="J20" s="81">
        <v>29445.959051000002</v>
      </c>
      <c r="K20" s="81">
        <v>30219.165388000001</v>
      </c>
      <c r="L20" s="81">
        <v>32741.669765999999</v>
      </c>
    </row>
    <row r="21" spans="2:12" x14ac:dyDescent="0.25">
      <c r="B21" s="86" t="s">
        <v>173</v>
      </c>
      <c r="C21" s="77">
        <v>5139.0039189999998</v>
      </c>
      <c r="D21" s="77">
        <v>5181.3226910000003</v>
      </c>
      <c r="E21" s="77">
        <v>4715.3564740000002</v>
      </c>
      <c r="F21" s="77">
        <v>4829.9872509999996</v>
      </c>
      <c r="G21" s="77">
        <v>5368.7305560000004</v>
      </c>
      <c r="H21" s="77">
        <v>5189.0809669999999</v>
      </c>
      <c r="I21" s="77">
        <v>5704.8892770000002</v>
      </c>
      <c r="J21" s="77">
        <v>6264.9800489999998</v>
      </c>
      <c r="K21" s="77">
        <v>6410.4469490000001</v>
      </c>
      <c r="L21" s="77">
        <v>7004.3455290000002</v>
      </c>
    </row>
    <row r="22" spans="2:12" x14ac:dyDescent="0.25">
      <c r="B22" s="80" t="s">
        <v>174</v>
      </c>
      <c r="C22" s="81">
        <v>4288.410167</v>
      </c>
      <c r="D22" s="81">
        <v>3101.1140700000001</v>
      </c>
      <c r="E22" s="81">
        <v>2636.3258080000001</v>
      </c>
      <c r="F22" s="81">
        <v>2574.1153479999998</v>
      </c>
      <c r="G22" s="81">
        <v>2667.7060350000002</v>
      </c>
      <c r="H22" s="81">
        <v>2549.1398049999998</v>
      </c>
      <c r="I22" s="81">
        <v>2666.1977139999999</v>
      </c>
      <c r="J22" s="81">
        <v>2341.1571650000001</v>
      </c>
      <c r="K22" s="81">
        <v>2437.6047480000002</v>
      </c>
      <c r="L22" s="81">
        <v>2497.344208</v>
      </c>
    </row>
    <row r="23" spans="2:12" x14ac:dyDescent="0.25">
      <c r="B23" s="86" t="s">
        <v>175</v>
      </c>
      <c r="C23" s="77">
        <v>503.360026</v>
      </c>
      <c r="D23" s="77">
        <v>474.425229</v>
      </c>
      <c r="E23" s="77">
        <v>426.71552700000001</v>
      </c>
      <c r="F23" s="77">
        <v>427.41546899999997</v>
      </c>
      <c r="G23" s="77">
        <v>374.52116100000001</v>
      </c>
      <c r="H23" s="77">
        <v>347.34992499999998</v>
      </c>
      <c r="I23" s="77">
        <v>393.68625200000002</v>
      </c>
      <c r="J23" s="77">
        <v>399.625202</v>
      </c>
      <c r="K23" s="77">
        <v>375.141459</v>
      </c>
      <c r="L23" s="77">
        <v>419.12118600000002</v>
      </c>
    </row>
    <row r="24" spans="2:12" x14ac:dyDescent="0.25">
      <c r="B24" s="80" t="s">
        <v>176</v>
      </c>
      <c r="C24" s="84"/>
      <c r="D24" s="84"/>
      <c r="E24" s="84"/>
      <c r="F24" s="84"/>
      <c r="G24" s="81">
        <v>11813.986734</v>
      </c>
      <c r="H24" s="81">
        <v>11301.295441</v>
      </c>
      <c r="I24" s="81">
        <v>11916.989254</v>
      </c>
      <c r="J24" s="81">
        <v>11773.90482</v>
      </c>
      <c r="K24" s="81">
        <v>12234.101682</v>
      </c>
      <c r="L24" s="81">
        <v>12881.699298</v>
      </c>
    </row>
    <row r="25" spans="2:12" x14ac:dyDescent="0.25">
      <c r="B25" s="76" t="s">
        <v>177</v>
      </c>
      <c r="C25" s="77">
        <v>13416.919717000001</v>
      </c>
      <c r="D25" s="77">
        <v>12501.351280000001</v>
      </c>
      <c r="E25" s="77">
        <v>11807.211971000001</v>
      </c>
      <c r="F25" s="77">
        <v>12553.820415</v>
      </c>
      <c r="G25" s="77">
        <v>13265.835298</v>
      </c>
      <c r="H25" s="77">
        <v>13500.306522000001</v>
      </c>
      <c r="I25" s="77">
        <v>15121.350886</v>
      </c>
      <c r="J25" s="77">
        <v>16176.153562</v>
      </c>
      <c r="K25" s="77">
        <v>16894.401471000001</v>
      </c>
      <c r="L25" s="77">
        <v>18234.668727</v>
      </c>
    </row>
    <row r="26" spans="2:12" x14ac:dyDescent="0.25">
      <c r="B26" s="30" t="s">
        <v>178</v>
      </c>
      <c r="C26" s="18">
        <v>863.94181400000002</v>
      </c>
      <c r="D26" s="18">
        <v>692.20195699999999</v>
      </c>
      <c r="E26" s="18">
        <v>1043.5543070000001</v>
      </c>
      <c r="F26" s="18">
        <v>1055.5045130000001</v>
      </c>
      <c r="G26" s="18">
        <v>1310.467717</v>
      </c>
      <c r="H26" s="18">
        <v>1089.4528250000001</v>
      </c>
      <c r="I26" s="18">
        <v>1264.5972730000001</v>
      </c>
      <c r="J26" s="18">
        <v>1024.3148209999999</v>
      </c>
      <c r="K26" s="18">
        <v>1150.7717740000001</v>
      </c>
      <c r="L26" s="18">
        <v>2655.7217989999999</v>
      </c>
    </row>
    <row r="27" spans="2:12" x14ac:dyDescent="0.25">
      <c r="B27" s="76" t="s">
        <v>179</v>
      </c>
      <c r="C27" s="77">
        <v>729.72474799999998</v>
      </c>
      <c r="D27" s="77">
        <v>688.21997099999999</v>
      </c>
      <c r="E27" s="77">
        <v>904.147244</v>
      </c>
      <c r="F27" s="77">
        <v>1052.1803649999999</v>
      </c>
      <c r="G27" s="77">
        <v>1131.670388</v>
      </c>
      <c r="H27" s="77">
        <v>1060.193702</v>
      </c>
      <c r="I27" s="77">
        <v>1056.278593</v>
      </c>
      <c r="J27" s="77">
        <v>997.42327799999998</v>
      </c>
      <c r="K27" s="77">
        <v>977.86632299999997</v>
      </c>
      <c r="L27" s="77">
        <v>2617.0931179999998</v>
      </c>
    </row>
    <row r="28" spans="2:12" x14ac:dyDescent="0.25">
      <c r="B28" s="83" t="s">
        <v>180</v>
      </c>
      <c r="C28" s="81">
        <v>134.21706599999999</v>
      </c>
      <c r="D28" s="81">
        <v>3.981986</v>
      </c>
      <c r="E28" s="81">
        <v>139.40706299999999</v>
      </c>
      <c r="F28" s="81">
        <v>3.3241480000000001</v>
      </c>
      <c r="G28" s="81">
        <v>178.79732899999999</v>
      </c>
      <c r="H28" s="81">
        <v>29.259122999999999</v>
      </c>
      <c r="I28" s="81">
        <v>208.31868</v>
      </c>
      <c r="J28" s="81">
        <v>26.891544</v>
      </c>
      <c r="K28" s="81">
        <v>172.905451</v>
      </c>
      <c r="L28" s="81">
        <v>38.628681</v>
      </c>
    </row>
    <row r="29" spans="2:12" x14ac:dyDescent="0.25">
      <c r="B29" s="82" t="s">
        <v>181</v>
      </c>
      <c r="C29" s="79">
        <v>2316.3950850000001</v>
      </c>
      <c r="D29" s="79">
        <v>2215.2169199999998</v>
      </c>
      <c r="E29" s="79">
        <v>1981.7621770000001</v>
      </c>
      <c r="F29" s="79">
        <v>2039.5398399999999</v>
      </c>
      <c r="G29" s="79">
        <v>2977.99557</v>
      </c>
      <c r="H29" s="79">
        <v>2831.3514030000001</v>
      </c>
      <c r="I29" s="79">
        <v>3145.8846709999998</v>
      </c>
      <c r="J29" s="79">
        <v>3527.4771380000002</v>
      </c>
      <c r="K29" s="79">
        <v>3509.1659089999998</v>
      </c>
      <c r="L29" s="79">
        <v>3913.085356</v>
      </c>
    </row>
    <row r="30" spans="2:12" x14ac:dyDescent="0.25">
      <c r="B30" s="83" t="s">
        <v>182</v>
      </c>
      <c r="C30" s="81">
        <v>2316.3950850000001</v>
      </c>
      <c r="D30" s="81">
        <v>2215.2169199999998</v>
      </c>
      <c r="E30" s="81">
        <v>1981.7621770000001</v>
      </c>
      <c r="F30" s="81">
        <v>2039.5398399999999</v>
      </c>
      <c r="G30" s="81">
        <v>2385.211601</v>
      </c>
      <c r="H30" s="81">
        <v>2266.4378299999998</v>
      </c>
      <c r="I30" s="81">
        <v>2446.799188</v>
      </c>
      <c r="J30" s="81">
        <v>2717.638774</v>
      </c>
      <c r="K30" s="81">
        <v>2752.3650889999999</v>
      </c>
      <c r="L30" s="81">
        <v>3037.1800210000001</v>
      </c>
    </row>
    <row r="31" spans="2:12" x14ac:dyDescent="0.25">
      <c r="B31" s="76" t="s">
        <v>183</v>
      </c>
      <c r="C31" s="77">
        <v>0</v>
      </c>
      <c r="D31" s="77">
        <v>0</v>
      </c>
      <c r="E31" s="77">
        <v>0</v>
      </c>
      <c r="F31" s="77">
        <v>0</v>
      </c>
      <c r="G31" s="77">
        <v>592.78396899999996</v>
      </c>
      <c r="H31" s="77">
        <v>564.91357300000004</v>
      </c>
      <c r="I31" s="77">
        <v>699.08548199999996</v>
      </c>
      <c r="J31" s="77">
        <v>809.83836399999996</v>
      </c>
      <c r="K31" s="77">
        <v>756.80082000000004</v>
      </c>
      <c r="L31" s="77">
        <v>875.90533500000004</v>
      </c>
    </row>
    <row r="32" spans="2:12" x14ac:dyDescent="0.25">
      <c r="B32" s="87" t="s">
        <v>184</v>
      </c>
      <c r="C32" s="81">
        <v>490.472241</v>
      </c>
      <c r="D32" s="81">
        <v>762.26595499999996</v>
      </c>
      <c r="E32" s="81">
        <v>722.76816099999996</v>
      </c>
      <c r="F32" s="81">
        <v>1066.7016430000001</v>
      </c>
      <c r="G32" s="81">
        <v>1014.6102529999999</v>
      </c>
      <c r="H32" s="81">
        <v>1745.494672</v>
      </c>
      <c r="I32" s="81">
        <v>2072.6345679999999</v>
      </c>
      <c r="J32" s="81">
        <v>2320.9182329999999</v>
      </c>
      <c r="K32" s="81">
        <v>2736.522966</v>
      </c>
      <c r="L32" s="81">
        <v>3421.535394</v>
      </c>
    </row>
    <row r="33" spans="2:12" x14ac:dyDescent="0.25">
      <c r="B33" s="82" t="s">
        <v>185</v>
      </c>
      <c r="C33" s="79">
        <v>1095.92193</v>
      </c>
      <c r="D33" s="79">
        <v>992.74712</v>
      </c>
      <c r="E33" s="79">
        <v>1272.06863</v>
      </c>
      <c r="F33" s="79">
        <v>1012.8154500000001</v>
      </c>
      <c r="G33" s="79">
        <v>515.81291999999996</v>
      </c>
      <c r="H33" s="79">
        <v>543.25527999999997</v>
      </c>
      <c r="I33" s="79">
        <v>932.64158999999995</v>
      </c>
      <c r="J33" s="79">
        <v>1252.9397899999999</v>
      </c>
      <c r="K33" s="79">
        <v>1419.36364</v>
      </c>
      <c r="L33" s="79">
        <v>1549.9758099999999</v>
      </c>
    </row>
    <row r="34" spans="2:12" x14ac:dyDescent="0.25">
      <c r="B34" s="83" t="s">
        <v>186</v>
      </c>
      <c r="C34" s="81">
        <v>1095.921928</v>
      </c>
      <c r="D34" s="81">
        <v>992.74711600000001</v>
      </c>
      <c r="E34" s="81">
        <v>1272.0686330000001</v>
      </c>
      <c r="F34" s="81">
        <v>1012.8154520000001</v>
      </c>
      <c r="G34" s="81">
        <v>515.81292199999996</v>
      </c>
      <c r="H34" s="81">
        <v>543.25528299999996</v>
      </c>
      <c r="I34" s="81">
        <v>932.64158799999996</v>
      </c>
      <c r="J34" s="81">
        <v>1252.9397899999999</v>
      </c>
      <c r="K34" s="81">
        <v>1419.363644</v>
      </c>
      <c r="L34" s="81">
        <v>1549.975813</v>
      </c>
    </row>
    <row r="35" spans="2:12" x14ac:dyDescent="0.25">
      <c r="B35" s="85" t="s">
        <v>187</v>
      </c>
      <c r="C35" s="77">
        <v>34924.698252000002</v>
      </c>
      <c r="D35" s="77">
        <v>29413.510896</v>
      </c>
      <c r="E35" s="77">
        <v>28150.982945</v>
      </c>
      <c r="F35" s="77">
        <v>28702.444613</v>
      </c>
      <c r="G35" s="77">
        <v>42325.880080000003</v>
      </c>
      <c r="H35" s="77">
        <v>43011.564826000002</v>
      </c>
      <c r="I35" s="77">
        <v>47356.929927999998</v>
      </c>
      <c r="J35" s="77">
        <v>47257.530733</v>
      </c>
      <c r="K35" s="77">
        <v>50827.684568999997</v>
      </c>
      <c r="L35" s="77">
        <v>53290.196468000002</v>
      </c>
    </row>
    <row r="36" spans="2:12" x14ac:dyDescent="0.25">
      <c r="B36" s="17" t="s">
        <v>188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2:12" x14ac:dyDescent="0.25">
      <c r="B37" s="82" t="s">
        <v>189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</row>
    <row r="38" spans="2:12" x14ac:dyDescent="0.25">
      <c r="B38" s="83" t="s">
        <v>190</v>
      </c>
      <c r="C38" s="81">
        <v>0</v>
      </c>
      <c r="D38" s="81">
        <v>73.192701</v>
      </c>
      <c r="E38" s="81">
        <v>0</v>
      </c>
      <c r="F38" s="81">
        <v>0</v>
      </c>
      <c r="G38" s="81">
        <v>605.87973799999997</v>
      </c>
      <c r="H38" s="81">
        <v>2407.012389</v>
      </c>
      <c r="I38" s="81">
        <v>620.38340600000004</v>
      </c>
      <c r="J38" s="81">
        <v>619.44248800000003</v>
      </c>
      <c r="K38" s="81">
        <v>2607.6133530000002</v>
      </c>
      <c r="L38" s="81">
        <v>614.19602299999997</v>
      </c>
    </row>
    <row r="39" spans="2:12" x14ac:dyDescent="0.25">
      <c r="B39" s="76" t="s">
        <v>191</v>
      </c>
      <c r="C39" s="77">
        <v>805.21034099999997</v>
      </c>
      <c r="D39" s="77">
        <v>716.75753999999995</v>
      </c>
      <c r="E39" s="77">
        <v>770.15323799999999</v>
      </c>
      <c r="F39" s="77">
        <v>1056.641721</v>
      </c>
      <c r="G39" s="77">
        <v>880.35635500000001</v>
      </c>
      <c r="H39" s="77">
        <v>605.85999900000002</v>
      </c>
      <c r="I39" s="77">
        <v>885.33240699999999</v>
      </c>
      <c r="J39" s="77">
        <v>918.43522499999995</v>
      </c>
      <c r="K39" s="77">
        <v>998.41581900000006</v>
      </c>
      <c r="L39" s="77">
        <v>993.72281099999998</v>
      </c>
    </row>
    <row r="40" spans="2:12" x14ac:dyDescent="0.25">
      <c r="B40" s="83" t="s">
        <v>192</v>
      </c>
      <c r="C40" s="81">
        <v>142.50207</v>
      </c>
      <c r="D40" s="81">
        <v>253.33017799999999</v>
      </c>
      <c r="E40" s="81">
        <v>221.35243399999999</v>
      </c>
      <c r="F40" s="81">
        <v>199.711321</v>
      </c>
      <c r="G40" s="81">
        <v>295.50111600000002</v>
      </c>
      <c r="H40" s="81">
        <v>605.69654000000003</v>
      </c>
      <c r="I40" s="81">
        <v>317.18255799999997</v>
      </c>
      <c r="J40" s="81">
        <v>257.57788499999998</v>
      </c>
      <c r="K40" s="81">
        <v>638.30174499999998</v>
      </c>
      <c r="L40" s="81">
        <v>348.62384300000002</v>
      </c>
    </row>
    <row r="41" spans="2:12" x14ac:dyDescent="0.25">
      <c r="B41" s="78" t="s">
        <v>193</v>
      </c>
      <c r="C41" s="79">
        <v>1768.2960370000001</v>
      </c>
      <c r="D41" s="79">
        <v>2244.9870080000001</v>
      </c>
      <c r="E41" s="79">
        <v>1415.722865</v>
      </c>
      <c r="F41" s="79">
        <v>1344.7928790000001</v>
      </c>
      <c r="G41" s="79">
        <v>1444.0980070000001</v>
      </c>
      <c r="H41" s="79">
        <v>1433.2883859999999</v>
      </c>
      <c r="I41" s="79">
        <v>1712.099917</v>
      </c>
      <c r="J41" s="79">
        <v>1767.064875</v>
      </c>
      <c r="K41" s="79">
        <v>1964.875814</v>
      </c>
      <c r="L41" s="79">
        <v>1772.090727</v>
      </c>
    </row>
    <row r="42" spans="2:12" x14ac:dyDescent="0.25">
      <c r="B42" s="80" t="s">
        <v>194</v>
      </c>
      <c r="C42" s="81">
        <v>1243.487057</v>
      </c>
      <c r="D42" s="81">
        <v>1095.4254780000001</v>
      </c>
      <c r="E42" s="81">
        <v>923.05130799999995</v>
      </c>
      <c r="F42" s="81">
        <v>859.99211500000001</v>
      </c>
      <c r="G42" s="81">
        <v>913.67484000000002</v>
      </c>
      <c r="H42" s="81">
        <v>862.89894400000003</v>
      </c>
      <c r="I42" s="81">
        <v>1181.586368</v>
      </c>
      <c r="J42" s="81">
        <v>1141.1571719999999</v>
      </c>
      <c r="K42" s="81">
        <v>1256.416099</v>
      </c>
      <c r="L42" s="81">
        <v>1083.534494</v>
      </c>
    </row>
    <row r="43" spans="2:12" x14ac:dyDescent="0.25">
      <c r="B43" s="86" t="s">
        <v>195</v>
      </c>
      <c r="C43" s="77">
        <v>524.80898100000002</v>
      </c>
      <c r="D43" s="77">
        <v>1149.5615299999999</v>
      </c>
      <c r="E43" s="77">
        <v>492.67155700000001</v>
      </c>
      <c r="F43" s="77">
        <v>484.80076300000002</v>
      </c>
      <c r="G43" s="77">
        <v>530.42316700000003</v>
      </c>
      <c r="H43" s="77">
        <v>570.38944200000003</v>
      </c>
      <c r="I43" s="77">
        <v>530.51354900000001</v>
      </c>
      <c r="J43" s="77">
        <v>625.90770299999997</v>
      </c>
      <c r="K43" s="77">
        <v>708.45971499999996</v>
      </c>
      <c r="L43" s="77">
        <v>688.55623400000002</v>
      </c>
    </row>
    <row r="44" spans="2:12" x14ac:dyDescent="0.25">
      <c r="B44" s="83" t="s">
        <v>196</v>
      </c>
      <c r="C44" s="81">
        <v>2716.008448</v>
      </c>
      <c r="D44" s="81">
        <v>3288.2674270000002</v>
      </c>
      <c r="E44" s="81">
        <v>2407.228537</v>
      </c>
      <c r="F44" s="81">
        <v>2601.1459209999998</v>
      </c>
      <c r="G44" s="81">
        <v>3225.8352159999999</v>
      </c>
      <c r="H44" s="81">
        <v>5051.8573139999999</v>
      </c>
      <c r="I44" s="81">
        <v>3534.9982879999998</v>
      </c>
      <c r="J44" s="81">
        <v>3562.5204739999999</v>
      </c>
      <c r="K44" s="81">
        <v>6209.2067310000002</v>
      </c>
      <c r="L44" s="81">
        <v>3728.633405</v>
      </c>
    </row>
    <row r="45" spans="2:12" x14ac:dyDescent="0.25">
      <c r="B45" s="82" t="s">
        <v>197</v>
      </c>
      <c r="C45" s="75"/>
      <c r="D45" s="75"/>
      <c r="E45" s="75"/>
      <c r="F45" s="75"/>
      <c r="G45" s="75"/>
      <c r="H45" s="75"/>
      <c r="I45" s="75"/>
      <c r="J45" s="75"/>
      <c r="K45" s="75"/>
      <c r="L45" s="75"/>
    </row>
    <row r="46" spans="2:12" x14ac:dyDescent="0.25">
      <c r="B46" s="88" t="s">
        <v>198</v>
      </c>
      <c r="C46" s="18">
        <v>22205.7441</v>
      </c>
      <c r="D46" s="18">
        <v>24535.198402999999</v>
      </c>
      <c r="E46" s="18">
        <v>24597.268721</v>
      </c>
      <c r="F46" s="18">
        <v>27183.921255000001</v>
      </c>
      <c r="G46" s="18">
        <v>41760.267603</v>
      </c>
      <c r="H46" s="18">
        <v>39653.549206000003</v>
      </c>
      <c r="I46" s="18">
        <v>42774.886251000004</v>
      </c>
      <c r="J46" s="18">
        <v>45010.915614999998</v>
      </c>
      <c r="K46" s="18">
        <v>45453.855585999998</v>
      </c>
      <c r="L46" s="18">
        <v>49552.871610000002</v>
      </c>
    </row>
    <row r="47" spans="2:12" x14ac:dyDescent="0.25">
      <c r="B47" s="86" t="s">
        <v>199</v>
      </c>
      <c r="C47" s="77">
        <v>22205.7441</v>
      </c>
      <c r="D47" s="77">
        <v>24535.198402999999</v>
      </c>
      <c r="E47" s="77">
        <v>24597.268721</v>
      </c>
      <c r="F47" s="77">
        <v>27183.921255000001</v>
      </c>
      <c r="G47" s="77">
        <v>30394.744124000001</v>
      </c>
      <c r="H47" s="77">
        <v>28766.131417000001</v>
      </c>
      <c r="I47" s="77">
        <v>31324.921273</v>
      </c>
      <c r="J47" s="77">
        <v>33641.133538000002</v>
      </c>
      <c r="K47" s="77">
        <v>33633.188036</v>
      </c>
      <c r="L47" s="77">
        <v>37106.710685999999</v>
      </c>
    </row>
    <row r="48" spans="2:12" x14ac:dyDescent="0.25">
      <c r="B48" s="80" t="s">
        <v>200</v>
      </c>
      <c r="C48" s="81">
        <v>0</v>
      </c>
      <c r="D48" s="81">
        <v>0</v>
      </c>
      <c r="E48" s="81">
        <v>0</v>
      </c>
      <c r="F48" s="81">
        <v>0</v>
      </c>
      <c r="G48" s="81">
        <v>11365.523477999999</v>
      </c>
      <c r="H48" s="81">
        <v>10887.417788999999</v>
      </c>
      <c r="I48" s="81">
        <v>11449.964978</v>
      </c>
      <c r="J48" s="81">
        <v>11369.782077</v>
      </c>
      <c r="K48" s="81">
        <v>11820.66755</v>
      </c>
      <c r="L48" s="81">
        <v>12446.160922999999</v>
      </c>
    </row>
    <row r="49" spans="2:12" x14ac:dyDescent="0.25">
      <c r="B49" s="76" t="s">
        <v>201</v>
      </c>
      <c r="C49" s="77">
        <v>1568.9036060000001</v>
      </c>
      <c r="D49" s="77">
        <v>1722.7779439999999</v>
      </c>
      <c r="E49" s="77">
        <v>932.21186799999998</v>
      </c>
      <c r="F49" s="77">
        <v>1063.2900179999999</v>
      </c>
      <c r="G49" s="77">
        <v>1174.253907</v>
      </c>
      <c r="H49" s="77">
        <v>1655.5106089999999</v>
      </c>
      <c r="I49" s="77">
        <v>1825.1846880000001</v>
      </c>
      <c r="J49" s="77">
        <v>1871.632689</v>
      </c>
      <c r="K49" s="77">
        <v>1521.658492</v>
      </c>
      <c r="L49" s="77">
        <v>1848.382372</v>
      </c>
    </row>
    <row r="50" spans="2:12" x14ac:dyDescent="0.25">
      <c r="B50" s="88" t="s">
        <v>202</v>
      </c>
      <c r="C50" s="18">
        <v>1909.23316</v>
      </c>
      <c r="D50" s="18">
        <v>1957.1462799999999</v>
      </c>
      <c r="E50" s="18">
        <v>2935.7928299999999</v>
      </c>
      <c r="F50" s="18">
        <v>3328.7844500000001</v>
      </c>
      <c r="G50" s="18">
        <v>3479.8218499999998</v>
      </c>
      <c r="H50" s="18">
        <v>3045.8910599999999</v>
      </c>
      <c r="I50" s="18">
        <v>3267.7629700000002</v>
      </c>
      <c r="J50" s="18">
        <v>2437.5731900000001</v>
      </c>
      <c r="K50" s="18">
        <v>1903.7704799999999</v>
      </c>
      <c r="L50" s="18">
        <v>1827.1366</v>
      </c>
    </row>
    <row r="51" spans="2:12" x14ac:dyDescent="0.25">
      <c r="B51" s="86" t="s">
        <v>203</v>
      </c>
      <c r="C51" s="77">
        <v>1909.233162</v>
      </c>
      <c r="D51" s="77">
        <v>1957.1462819999999</v>
      </c>
      <c r="E51" s="77">
        <v>2935.792833</v>
      </c>
      <c r="F51" s="77">
        <v>2779.6001900000001</v>
      </c>
      <c r="G51" s="77">
        <v>2891.3140549999998</v>
      </c>
      <c r="H51" s="77">
        <v>2472.1507160000001</v>
      </c>
      <c r="I51" s="77">
        <v>2618.5367919999999</v>
      </c>
      <c r="J51" s="77">
        <v>1727.523999</v>
      </c>
      <c r="K51" s="77">
        <v>1188.5212879999999</v>
      </c>
      <c r="L51" s="77">
        <v>1075.8087579999999</v>
      </c>
    </row>
    <row r="52" spans="2:12" x14ac:dyDescent="0.25">
      <c r="B52" s="80" t="s">
        <v>204</v>
      </c>
      <c r="C52" s="84"/>
      <c r="D52" s="84"/>
      <c r="E52" s="84"/>
      <c r="F52" s="81">
        <v>549.18426399999998</v>
      </c>
      <c r="G52" s="81">
        <v>588.50779999999997</v>
      </c>
      <c r="H52" s="81">
        <v>573.74034700000004</v>
      </c>
      <c r="I52" s="81">
        <v>649.226178</v>
      </c>
      <c r="J52" s="81">
        <v>710.04918699999996</v>
      </c>
      <c r="K52" s="81">
        <v>715.24919599999998</v>
      </c>
      <c r="L52" s="81">
        <v>751.32784000000004</v>
      </c>
    </row>
    <row r="53" spans="2:12" x14ac:dyDescent="0.25">
      <c r="B53" s="76" t="s">
        <v>205</v>
      </c>
      <c r="C53" s="77">
        <v>28399.889317000001</v>
      </c>
      <c r="D53" s="77">
        <v>31503.390056</v>
      </c>
      <c r="E53" s="77">
        <v>30872.501959000001</v>
      </c>
      <c r="F53" s="77">
        <v>34177.141647999997</v>
      </c>
      <c r="G53" s="77">
        <v>49640.178581</v>
      </c>
      <c r="H53" s="77">
        <v>49406.808191999997</v>
      </c>
      <c r="I53" s="77">
        <v>51402.832197000003</v>
      </c>
      <c r="J53" s="77">
        <v>52882.641964000002</v>
      </c>
      <c r="K53" s="77">
        <v>55088.491292999999</v>
      </c>
      <c r="L53" s="77">
        <v>56957.023983999999</v>
      </c>
    </row>
    <row r="54" spans="2:12" x14ac:dyDescent="0.25">
      <c r="B54" s="30" t="s">
        <v>206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2:12" x14ac:dyDescent="0.25">
      <c r="B55" s="78" t="s">
        <v>207</v>
      </c>
      <c r="C55" s="79">
        <v>6524.808935</v>
      </c>
      <c r="D55" s="79">
        <v>-2089.87916</v>
      </c>
      <c r="E55" s="79">
        <v>-2721.5190130000001</v>
      </c>
      <c r="F55" s="79">
        <v>-5474.6970350000001</v>
      </c>
      <c r="G55" s="79">
        <v>-7314.2985010000002</v>
      </c>
      <c r="H55" s="79">
        <v>-6395.243367</v>
      </c>
      <c r="I55" s="79">
        <v>-4045.90227</v>
      </c>
      <c r="J55" s="79">
        <v>-5625.1112309999999</v>
      </c>
      <c r="K55" s="79">
        <v>-4260.806724</v>
      </c>
      <c r="L55" s="79">
        <v>-3666.8275159999998</v>
      </c>
    </row>
    <row r="56" spans="2:12" x14ac:dyDescent="0.25">
      <c r="B56" s="80" t="s">
        <v>208</v>
      </c>
      <c r="C56" s="81">
        <v>15.281230000000001</v>
      </c>
      <c r="D56" s="81">
        <v>15.738327</v>
      </c>
      <c r="E56" s="81">
        <v>13.824116999999999</v>
      </c>
      <c r="F56" s="81">
        <v>14.521279</v>
      </c>
      <c r="G56" s="81">
        <v>14.788418999999999</v>
      </c>
      <c r="H56" s="81">
        <v>13.567079</v>
      </c>
      <c r="I56" s="81">
        <v>14.597257000000001</v>
      </c>
      <c r="J56" s="81">
        <v>15.553993999999999</v>
      </c>
      <c r="K56" s="81">
        <v>15.027385000000001</v>
      </c>
      <c r="L56" s="81">
        <v>16.417189</v>
      </c>
    </row>
    <row r="57" spans="2:12" x14ac:dyDescent="0.25">
      <c r="B57" s="86" t="s">
        <v>209</v>
      </c>
      <c r="C57" s="77">
        <v>6014.3606280000004</v>
      </c>
      <c r="D57" s="77">
        <v>6407.1108169999998</v>
      </c>
      <c r="E57" s="77">
        <v>5889.740229</v>
      </c>
      <c r="F57" s="77">
        <v>6452.3464990000002</v>
      </c>
      <c r="G57" s="77">
        <v>6818.6192099999998</v>
      </c>
      <c r="H57" s="77">
        <v>6459.5644000000002</v>
      </c>
      <c r="I57" s="77">
        <v>7238.4805740000002</v>
      </c>
      <c r="J57" s="77">
        <v>8008.526535</v>
      </c>
      <c r="K57" s="77">
        <v>8050.4234630000001</v>
      </c>
      <c r="L57" s="77">
        <v>8962.819641</v>
      </c>
    </row>
    <row r="58" spans="2:12" x14ac:dyDescent="0.25">
      <c r="B58" s="80" t="s">
        <v>210</v>
      </c>
      <c r="C58" s="81">
        <v>41051.734935</v>
      </c>
      <c r="D58" s="81">
        <v>43823.371338999998</v>
      </c>
      <c r="E58" s="81">
        <v>40244.670601999998</v>
      </c>
      <c r="F58" s="81">
        <v>44164.807174000001</v>
      </c>
      <c r="G58" s="81">
        <v>47154.120653999998</v>
      </c>
      <c r="H58" s="81">
        <v>44058.763552999997</v>
      </c>
      <c r="I58" s="81">
        <v>50593.300002000004</v>
      </c>
      <c r="J58" s="81">
        <v>55791.894697000003</v>
      </c>
      <c r="K58" s="81">
        <v>57466.077028</v>
      </c>
      <c r="L58" s="81">
        <v>64542.731158000002</v>
      </c>
    </row>
    <row r="59" spans="2:12" x14ac:dyDescent="0.25">
      <c r="B59" s="86" t="s">
        <v>211</v>
      </c>
      <c r="C59" s="89">
        <v>-2513.0258480000002</v>
      </c>
      <c r="D59" s="89">
        <v>-2757.7151530000001</v>
      </c>
      <c r="E59" s="89">
        <v>-1641.9886899999999</v>
      </c>
      <c r="F59" s="89">
        <v>-2121.593813</v>
      </c>
      <c r="G59" s="89">
        <v>-2005.3452279999999</v>
      </c>
      <c r="H59" s="89">
        <v>-1788.157416</v>
      </c>
      <c r="I59" s="89">
        <v>-2083.5385430000001</v>
      </c>
      <c r="J59" s="89">
        <v>-2079.2691359999999</v>
      </c>
      <c r="K59" s="89">
        <v>-1885.6652019999999</v>
      </c>
      <c r="L59" s="89">
        <v>-2200.869083</v>
      </c>
    </row>
    <row r="60" spans="2:12" x14ac:dyDescent="0.25">
      <c r="B60" s="80" t="s">
        <v>212</v>
      </c>
      <c r="C60" s="32">
        <v>-137.99134599999999</v>
      </c>
      <c r="D60" s="32">
        <v>-174.638543</v>
      </c>
      <c r="E60" s="32">
        <v>-172.135245</v>
      </c>
      <c r="F60" s="32">
        <v>-161.13370699999999</v>
      </c>
      <c r="G60" s="32">
        <v>-206.41425599999999</v>
      </c>
      <c r="H60" s="32">
        <v>-326.018553</v>
      </c>
      <c r="I60" s="32">
        <v>-179.651779</v>
      </c>
      <c r="J60" s="32">
        <v>-250.64417700000001</v>
      </c>
      <c r="K60" s="32">
        <v>-337.663524</v>
      </c>
      <c r="L60" s="32">
        <v>-264.60646300000002</v>
      </c>
    </row>
    <row r="61" spans="2:12" x14ac:dyDescent="0.25">
      <c r="B61" s="86" t="s">
        <v>213</v>
      </c>
      <c r="C61" s="89">
        <v>-37905.550664000002</v>
      </c>
      <c r="D61" s="89">
        <v>-49403.745947000003</v>
      </c>
      <c r="E61" s="89">
        <v>-47055.630026999999</v>
      </c>
      <c r="F61" s="89">
        <v>-53823.644466999998</v>
      </c>
      <c r="G61" s="89">
        <v>-59090.067299000002</v>
      </c>
      <c r="H61" s="89">
        <v>-54812.96243</v>
      </c>
      <c r="I61" s="89">
        <v>-59629.089781000002</v>
      </c>
      <c r="J61" s="89">
        <v>-67111.173144</v>
      </c>
      <c r="K61" s="89">
        <v>-67569.005873999995</v>
      </c>
      <c r="L61" s="89">
        <v>-74722.354240999994</v>
      </c>
    </row>
    <row r="62" spans="2:12" x14ac:dyDescent="0.25">
      <c r="B62" s="83" t="s">
        <v>214</v>
      </c>
      <c r="C62" s="81">
        <v>6524.808935</v>
      </c>
      <c r="D62" s="32">
        <v>-2089.87916</v>
      </c>
      <c r="E62" s="32">
        <v>-2721.5190130000001</v>
      </c>
      <c r="F62" s="32">
        <v>-5474.6970350000001</v>
      </c>
      <c r="G62" s="32">
        <v>-7314.2985010000002</v>
      </c>
      <c r="H62" s="32">
        <v>-6395.243367</v>
      </c>
      <c r="I62" s="32">
        <v>-4045.90227</v>
      </c>
      <c r="J62" s="32">
        <v>-5625.1112309999999</v>
      </c>
      <c r="K62" s="32">
        <v>-4260.806724</v>
      </c>
      <c r="L62" s="32">
        <v>-3666.8275159999998</v>
      </c>
    </row>
    <row r="63" spans="2:12" x14ac:dyDescent="0.25">
      <c r="B63" s="76" t="s">
        <v>215</v>
      </c>
      <c r="C63" s="77">
        <v>6524.808935</v>
      </c>
      <c r="D63" s="89">
        <v>-2089.87916</v>
      </c>
      <c r="E63" s="89">
        <v>-2721.5190130000001</v>
      </c>
      <c r="F63" s="89">
        <v>-5474.6970350000001</v>
      </c>
      <c r="G63" s="89">
        <v>-7314.2985010000002</v>
      </c>
      <c r="H63" s="89">
        <v>-6395.243367</v>
      </c>
      <c r="I63" s="89">
        <v>-4045.90227</v>
      </c>
      <c r="J63" s="89">
        <v>-5625.1112309999999</v>
      </c>
      <c r="K63" s="89">
        <v>-4260.806724</v>
      </c>
      <c r="L63" s="89">
        <v>-3666.8275159999998</v>
      </c>
    </row>
    <row r="64" spans="2:12" x14ac:dyDescent="0.25">
      <c r="B64" s="87" t="s">
        <v>216</v>
      </c>
      <c r="C64" s="81">
        <v>34924.698252000002</v>
      </c>
      <c r="D64" s="81">
        <v>29413.510896</v>
      </c>
      <c r="E64" s="81">
        <v>28150.982945</v>
      </c>
      <c r="F64" s="81">
        <v>28702.444613</v>
      </c>
      <c r="G64" s="81">
        <v>42325.880080000003</v>
      </c>
      <c r="H64" s="81">
        <v>43011.564826000002</v>
      </c>
      <c r="I64" s="81">
        <v>47356.929927999998</v>
      </c>
      <c r="J64" s="81">
        <v>47257.530733</v>
      </c>
      <c r="K64" s="81">
        <v>50827.684568999997</v>
      </c>
      <c r="L64" s="81">
        <v>53290.196468000002</v>
      </c>
    </row>
    <row r="65" spans="2:12" x14ac:dyDescent="0.25">
      <c r="B65" s="75" t="s">
        <v>72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</row>
    <row r="66" spans="2:12" x14ac:dyDescent="0.25">
      <c r="B66" s="87" t="s">
        <v>217</v>
      </c>
      <c r="C66" s="90">
        <v>7.1954200000000004</v>
      </c>
      <c r="D66" s="91">
        <v>-2.5508099999999998</v>
      </c>
      <c r="E66" s="91">
        <v>-3.4271699999999998</v>
      </c>
      <c r="F66" s="91">
        <v>-7.1368799999999997</v>
      </c>
      <c r="G66" s="91">
        <v>-9.8007500000000007</v>
      </c>
      <c r="H66" s="91">
        <v>-8.5796100000000006</v>
      </c>
      <c r="I66" s="91">
        <v>-5.4278300000000002</v>
      </c>
      <c r="J66" s="91">
        <v>-7.5525099999999998</v>
      </c>
      <c r="K66" s="91">
        <v>-5.8263499999999997</v>
      </c>
      <c r="L66" s="91">
        <v>-5.1269999999999998</v>
      </c>
    </row>
    <row r="67" spans="2:12" x14ac:dyDescent="0.25">
      <c r="B67" s="85" t="s">
        <v>218</v>
      </c>
      <c r="C67" s="92">
        <v>4.6409500000000001</v>
      </c>
      <c r="D67" s="93">
        <v>-5.2546030000000004</v>
      </c>
      <c r="E67" s="93">
        <v>-5.9227819999999998</v>
      </c>
      <c r="F67" s="93">
        <v>-9.7956420000000008</v>
      </c>
      <c r="G67" s="93">
        <v>-13.791095</v>
      </c>
      <c r="H67" s="93">
        <v>-12.378045</v>
      </c>
      <c r="I67" s="93">
        <v>-9.6482250000000001</v>
      </c>
      <c r="J67" s="93">
        <v>-12.288652000000001</v>
      </c>
      <c r="K67" s="93">
        <v>-10.624877</v>
      </c>
      <c r="L67" s="93">
        <v>-10.598312</v>
      </c>
    </row>
    <row r="68" spans="2:12" x14ac:dyDescent="0.25">
      <c r="B68" s="41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FBDC-A1B6-4B80-B5C6-A97DFBA4EB46}">
  <dimension ref="B1:O56"/>
  <sheetViews>
    <sheetView showGridLines="0" topLeftCell="B25" workbookViewId="0">
      <selection activeCell="L25" sqref="L25"/>
    </sheetView>
  </sheetViews>
  <sheetFormatPr defaultRowHeight="15" x14ac:dyDescent="0.25"/>
  <cols>
    <col min="1" max="1" width="14.42578125" customWidth="1"/>
    <col min="2" max="2" width="50.85546875" customWidth="1"/>
  </cols>
  <sheetData>
    <row r="1" spans="2:15" x14ac:dyDescent="0.25">
      <c r="B1" s="12" t="s">
        <v>25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2:15" x14ac:dyDescent="0.25">
      <c r="B2" s="14" t="s">
        <v>26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2:15" x14ac:dyDescent="0.25">
      <c r="B3" s="1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2:15" x14ac:dyDescent="0.2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2:15" x14ac:dyDescent="0.25">
      <c r="B5" s="16" t="s">
        <v>17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2:15" x14ac:dyDescent="0.25">
      <c r="B6" s="16" t="s">
        <v>27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2:15" x14ac:dyDescent="0.25">
      <c r="B7" s="16" t="s">
        <v>28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2:15" x14ac:dyDescent="0.25">
      <c r="B8" s="16"/>
      <c r="C8" s="16" t="s">
        <v>29</v>
      </c>
      <c r="D8" s="16" t="s">
        <v>30</v>
      </c>
      <c r="E8" s="16" t="s">
        <v>31</v>
      </c>
      <c r="F8" s="16" t="s">
        <v>32</v>
      </c>
      <c r="G8" s="16" t="s">
        <v>33</v>
      </c>
      <c r="H8" s="16" t="s">
        <v>34</v>
      </c>
      <c r="I8" s="16" t="s">
        <v>35</v>
      </c>
      <c r="J8" s="16" t="s">
        <v>36</v>
      </c>
      <c r="K8" s="16" t="s">
        <v>37</v>
      </c>
      <c r="L8" s="16" t="s">
        <v>38</v>
      </c>
      <c r="M8" s="16" t="s">
        <v>39</v>
      </c>
    </row>
    <row r="9" spans="2:15" x14ac:dyDescent="0.2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 t="s">
        <v>40</v>
      </c>
    </row>
    <row r="10" spans="2:15" x14ac:dyDescent="0.25">
      <c r="B10" s="16"/>
      <c r="C10" s="16"/>
      <c r="D10" s="16"/>
      <c r="E10" s="16"/>
      <c r="F10" s="16"/>
      <c r="G10" s="16" t="s">
        <v>41</v>
      </c>
      <c r="H10" s="16"/>
      <c r="I10" s="16"/>
      <c r="J10" s="16"/>
      <c r="K10" s="16"/>
      <c r="L10" s="16"/>
      <c r="M10" s="16"/>
    </row>
    <row r="11" spans="2:15" x14ac:dyDescent="0.25">
      <c r="B11" s="17" t="s">
        <v>42</v>
      </c>
      <c r="C11" s="18">
        <v>22917</v>
      </c>
      <c r="D11" s="18">
        <v>22258</v>
      </c>
      <c r="E11" s="18">
        <v>20232</v>
      </c>
      <c r="F11" s="18">
        <v>17822</v>
      </c>
      <c r="G11" s="18">
        <v>19088</v>
      </c>
      <c r="H11" s="18">
        <v>16849</v>
      </c>
      <c r="I11" s="18">
        <v>19647</v>
      </c>
      <c r="J11" s="18">
        <v>22058</v>
      </c>
      <c r="K11" s="18">
        <v>23581</v>
      </c>
      <c r="L11" s="18">
        <v>23962</v>
      </c>
      <c r="M11" s="18">
        <v>23790</v>
      </c>
    </row>
    <row r="12" spans="2:15" x14ac:dyDescent="0.25">
      <c r="B12" s="19" t="s">
        <v>43</v>
      </c>
      <c r="C12" s="20">
        <v>14089</v>
      </c>
      <c r="D12" s="20">
        <v>13033</v>
      </c>
      <c r="E12" s="20">
        <v>10816</v>
      </c>
      <c r="F12" s="20">
        <v>8679</v>
      </c>
      <c r="G12" s="20">
        <v>9134</v>
      </c>
      <c r="H12" s="20">
        <v>8324</v>
      </c>
      <c r="I12" s="20">
        <v>9063</v>
      </c>
      <c r="J12" s="20">
        <v>9611</v>
      </c>
      <c r="K12" s="20">
        <v>10249</v>
      </c>
      <c r="L12" s="20">
        <v>10463</v>
      </c>
      <c r="M12" s="20">
        <v>10171</v>
      </c>
    </row>
    <row r="13" spans="2:15" x14ac:dyDescent="0.25">
      <c r="B13" s="21" t="s">
        <v>44</v>
      </c>
      <c r="C13" s="22">
        <v>12686</v>
      </c>
      <c r="D13" s="22">
        <v>11662</v>
      </c>
      <c r="E13" s="22">
        <v>9607</v>
      </c>
      <c r="F13" s="22">
        <v>7423</v>
      </c>
      <c r="G13" s="22">
        <v>7689</v>
      </c>
      <c r="H13" s="22">
        <v>6788</v>
      </c>
      <c r="I13" s="22">
        <v>7482</v>
      </c>
      <c r="J13" s="22">
        <v>7831</v>
      </c>
      <c r="K13" s="22">
        <v>8419</v>
      </c>
      <c r="L13" s="22">
        <v>8525</v>
      </c>
      <c r="M13" s="22">
        <v>8200</v>
      </c>
      <c r="O13" t="s">
        <v>111</v>
      </c>
    </row>
    <row r="14" spans="2:15" x14ac:dyDescent="0.25">
      <c r="B14" s="23" t="s">
        <v>45</v>
      </c>
      <c r="C14" s="20">
        <v>1403</v>
      </c>
      <c r="D14" s="20">
        <v>1371</v>
      </c>
      <c r="E14" s="20">
        <v>1209</v>
      </c>
      <c r="F14" s="20">
        <v>1256</v>
      </c>
      <c r="G14" s="20">
        <v>1446</v>
      </c>
      <c r="H14" s="20">
        <v>1536</v>
      </c>
      <c r="I14" s="20">
        <v>1580</v>
      </c>
      <c r="J14" s="20">
        <v>1780</v>
      </c>
      <c r="K14" s="20">
        <v>1830</v>
      </c>
      <c r="L14" s="20">
        <v>1939</v>
      </c>
      <c r="M14" s="20">
        <v>1971</v>
      </c>
      <c r="O14" t="s">
        <v>112</v>
      </c>
    </row>
    <row r="15" spans="2:15" x14ac:dyDescent="0.25">
      <c r="B15" s="24" t="s">
        <v>46</v>
      </c>
      <c r="C15" s="22">
        <v>1297</v>
      </c>
      <c r="D15" s="22">
        <v>1257</v>
      </c>
      <c r="E15" s="22">
        <v>1088</v>
      </c>
      <c r="F15" s="22">
        <v>1104</v>
      </c>
      <c r="G15" s="22">
        <v>1244</v>
      </c>
      <c r="H15" s="22">
        <v>1289</v>
      </c>
      <c r="I15" s="22">
        <v>1295</v>
      </c>
      <c r="J15" s="22">
        <v>1383</v>
      </c>
      <c r="K15" s="22">
        <v>1389</v>
      </c>
      <c r="L15" s="22">
        <v>1387</v>
      </c>
      <c r="M15" s="25"/>
    </row>
    <row r="16" spans="2:15" x14ac:dyDescent="0.25">
      <c r="B16" s="26" t="s">
        <v>47</v>
      </c>
      <c r="C16" s="27">
        <v>106</v>
      </c>
      <c r="D16" s="27">
        <v>114</v>
      </c>
      <c r="E16" s="27">
        <v>120</v>
      </c>
      <c r="F16" s="27">
        <v>152</v>
      </c>
      <c r="G16" s="27">
        <v>202</v>
      </c>
      <c r="H16" s="27">
        <v>247</v>
      </c>
      <c r="I16" s="27">
        <v>285</v>
      </c>
      <c r="J16" s="27">
        <v>396</v>
      </c>
      <c r="K16" s="27">
        <v>441</v>
      </c>
      <c r="L16" s="27">
        <v>552</v>
      </c>
      <c r="M16" s="28"/>
    </row>
    <row r="17" spans="2:15" x14ac:dyDescent="0.25">
      <c r="B17" s="17" t="s">
        <v>48</v>
      </c>
      <c r="C17" s="18">
        <v>8828</v>
      </c>
      <c r="D17" s="18">
        <v>9225</v>
      </c>
      <c r="E17" s="18">
        <v>9416</v>
      </c>
      <c r="F17" s="18">
        <v>9143</v>
      </c>
      <c r="G17" s="18">
        <v>9954</v>
      </c>
      <c r="H17" s="18">
        <v>8525</v>
      </c>
      <c r="I17" s="18">
        <v>10585</v>
      </c>
      <c r="J17" s="18">
        <v>12447</v>
      </c>
      <c r="K17" s="18">
        <v>13332</v>
      </c>
      <c r="L17" s="18">
        <v>13499</v>
      </c>
      <c r="M17" s="18">
        <v>13619</v>
      </c>
      <c r="O17" s="45"/>
    </row>
    <row r="18" spans="2:15" x14ac:dyDescent="0.25">
      <c r="B18" s="19" t="s">
        <v>49</v>
      </c>
      <c r="C18" s="20">
        <v>2195</v>
      </c>
      <c r="D18" s="20">
        <v>2156</v>
      </c>
      <c r="E18" s="20">
        <v>1978</v>
      </c>
      <c r="F18" s="20">
        <v>1865</v>
      </c>
      <c r="G18" s="20">
        <v>2021</v>
      </c>
      <c r="H18" s="20">
        <v>2243</v>
      </c>
      <c r="I18" s="20">
        <v>2316</v>
      </c>
      <c r="J18" s="20">
        <v>2595</v>
      </c>
      <c r="K18" s="20">
        <v>2492</v>
      </c>
      <c r="L18" s="20">
        <v>2535</v>
      </c>
      <c r="M18" s="20">
        <v>2640</v>
      </c>
    </row>
    <row r="19" spans="2:15" x14ac:dyDescent="0.25">
      <c r="B19" s="21" t="s">
        <v>50</v>
      </c>
      <c r="C19" s="22">
        <v>2195</v>
      </c>
      <c r="D19" s="22">
        <v>2156</v>
      </c>
      <c r="E19" s="22">
        <v>1978</v>
      </c>
      <c r="F19" s="22">
        <v>1865</v>
      </c>
      <c r="G19" s="22">
        <v>2021</v>
      </c>
      <c r="H19" s="22">
        <v>2243</v>
      </c>
      <c r="I19" s="22">
        <v>2316</v>
      </c>
      <c r="J19" s="22">
        <v>2595</v>
      </c>
      <c r="K19" s="22">
        <v>2492</v>
      </c>
      <c r="L19" s="22">
        <v>2535</v>
      </c>
      <c r="M19" s="22">
        <v>2640</v>
      </c>
    </row>
    <row r="20" spans="2:15" x14ac:dyDescent="0.25">
      <c r="B20" s="29" t="s">
        <v>51</v>
      </c>
      <c r="C20" s="20">
        <v>6632</v>
      </c>
      <c r="D20" s="20">
        <v>7069</v>
      </c>
      <c r="E20" s="20">
        <v>7438</v>
      </c>
      <c r="F20" s="20">
        <v>7278</v>
      </c>
      <c r="G20" s="20">
        <v>7932</v>
      </c>
      <c r="H20" s="20">
        <v>6283</v>
      </c>
      <c r="I20" s="20">
        <v>8269</v>
      </c>
      <c r="J20" s="20">
        <v>9852</v>
      </c>
      <c r="K20" s="20">
        <v>10840</v>
      </c>
      <c r="L20" s="20">
        <v>10964</v>
      </c>
      <c r="M20" s="20">
        <v>10978</v>
      </c>
    </row>
    <row r="21" spans="2:15" x14ac:dyDescent="0.25">
      <c r="B21" s="30" t="s">
        <v>52</v>
      </c>
      <c r="C21" s="18">
        <v>-2</v>
      </c>
      <c r="D21" s="18">
        <v>218</v>
      </c>
      <c r="E21" s="18">
        <v>296</v>
      </c>
      <c r="F21" s="18">
        <v>356</v>
      </c>
      <c r="G21" s="18">
        <v>267</v>
      </c>
      <c r="H21" s="18">
        <v>-82</v>
      </c>
      <c r="I21" s="18">
        <v>118</v>
      </c>
      <c r="J21" s="18">
        <v>-1263</v>
      </c>
      <c r="K21" s="18">
        <v>861</v>
      </c>
      <c r="L21" s="18">
        <v>272</v>
      </c>
      <c r="M21" s="18">
        <v>2168</v>
      </c>
    </row>
    <row r="22" spans="2:15" x14ac:dyDescent="0.25">
      <c r="B22" s="31" t="s">
        <v>53</v>
      </c>
      <c r="C22" s="27">
        <v>9</v>
      </c>
      <c r="D22" s="27">
        <v>4</v>
      </c>
      <c r="E22" s="27">
        <v>6</v>
      </c>
      <c r="F22" s="27">
        <v>3</v>
      </c>
      <c r="G22" s="27">
        <v>33</v>
      </c>
      <c r="H22" s="27">
        <v>16</v>
      </c>
      <c r="I22" s="27">
        <v>8</v>
      </c>
      <c r="J22" s="27">
        <v>42</v>
      </c>
      <c r="K22" s="27">
        <v>172</v>
      </c>
      <c r="L22" s="27">
        <v>95</v>
      </c>
      <c r="M22" s="27">
        <v>73</v>
      </c>
    </row>
    <row r="23" spans="2:15" x14ac:dyDescent="0.25">
      <c r="B23" s="21" t="s">
        <v>54</v>
      </c>
      <c r="C23" s="32">
        <v>-132</v>
      </c>
      <c r="D23" s="22">
        <v>50</v>
      </c>
      <c r="E23" s="22">
        <v>163</v>
      </c>
      <c r="F23" s="22">
        <v>128</v>
      </c>
      <c r="G23" s="22">
        <v>137</v>
      </c>
      <c r="H23" s="22">
        <v>103</v>
      </c>
      <c r="I23" s="22">
        <v>149</v>
      </c>
      <c r="J23" s="22">
        <v>108</v>
      </c>
      <c r="K23" s="22">
        <v>142</v>
      </c>
      <c r="L23" s="22">
        <v>145</v>
      </c>
      <c r="M23" s="22">
        <v>176</v>
      </c>
    </row>
    <row r="24" spans="2:15" x14ac:dyDescent="0.25">
      <c r="B24" s="31" t="s">
        <v>55</v>
      </c>
      <c r="C24" s="27">
        <v>121</v>
      </c>
      <c r="D24" s="27">
        <v>165</v>
      </c>
      <c r="E24" s="27">
        <v>127</v>
      </c>
      <c r="F24" s="27">
        <v>224</v>
      </c>
      <c r="G24" s="27">
        <v>97</v>
      </c>
      <c r="H24" s="33">
        <v>-201</v>
      </c>
      <c r="I24" s="33">
        <v>-39</v>
      </c>
      <c r="J24" s="33">
        <v>-1413</v>
      </c>
      <c r="K24" s="27">
        <v>547</v>
      </c>
      <c r="L24" s="27">
        <v>31</v>
      </c>
      <c r="M24" s="27">
        <v>1919</v>
      </c>
    </row>
    <row r="25" spans="2:15" x14ac:dyDescent="0.25">
      <c r="B25" s="30" t="s">
        <v>56</v>
      </c>
      <c r="C25" s="18">
        <v>575</v>
      </c>
      <c r="D25" s="18">
        <v>799</v>
      </c>
      <c r="E25" s="18">
        <v>816</v>
      </c>
      <c r="F25" s="18">
        <v>831</v>
      </c>
      <c r="G25" s="18">
        <v>1057</v>
      </c>
      <c r="H25" s="18">
        <v>1075</v>
      </c>
      <c r="I25" s="18">
        <v>1010</v>
      </c>
      <c r="J25" s="18">
        <v>1236</v>
      </c>
      <c r="K25" s="18">
        <v>1297</v>
      </c>
      <c r="L25" s="18">
        <v>1435</v>
      </c>
      <c r="M25" s="18">
        <v>1460</v>
      </c>
    </row>
    <row r="26" spans="2:15" x14ac:dyDescent="0.25">
      <c r="B26" s="31" t="s">
        <v>57</v>
      </c>
      <c r="C26" s="27">
        <v>584</v>
      </c>
      <c r="D26" s="27">
        <v>806</v>
      </c>
      <c r="E26" s="27">
        <v>821</v>
      </c>
      <c r="F26" s="27">
        <v>835</v>
      </c>
      <c r="G26" s="27">
        <v>1063</v>
      </c>
      <c r="H26" s="27">
        <v>1080</v>
      </c>
      <c r="I26" s="27">
        <v>1016</v>
      </c>
      <c r="J26" s="27">
        <v>1245</v>
      </c>
      <c r="K26" s="27">
        <v>1303</v>
      </c>
      <c r="L26" s="27">
        <v>1443</v>
      </c>
      <c r="M26" s="27">
        <v>1460</v>
      </c>
    </row>
    <row r="27" spans="2:15" x14ac:dyDescent="0.25">
      <c r="B27" s="21" t="s">
        <v>58</v>
      </c>
      <c r="C27" s="22">
        <v>8</v>
      </c>
      <c r="D27" s="22">
        <v>6</v>
      </c>
      <c r="E27" s="22">
        <v>5</v>
      </c>
      <c r="F27" s="22">
        <v>5</v>
      </c>
      <c r="G27" s="22">
        <v>7</v>
      </c>
      <c r="H27" s="22">
        <v>5</v>
      </c>
      <c r="I27" s="22">
        <v>6</v>
      </c>
      <c r="J27" s="22">
        <v>9</v>
      </c>
      <c r="K27" s="22">
        <v>6</v>
      </c>
      <c r="L27" s="22">
        <v>8</v>
      </c>
      <c r="M27" s="25"/>
    </row>
    <row r="28" spans="2:15" x14ac:dyDescent="0.25">
      <c r="B28" s="19" t="s">
        <v>59</v>
      </c>
      <c r="C28" s="20">
        <v>143</v>
      </c>
      <c r="D28" s="20">
        <v>281</v>
      </c>
      <c r="E28" s="20">
        <v>-684</v>
      </c>
      <c r="F28" s="20">
        <v>177</v>
      </c>
      <c r="G28" s="20">
        <v>-21</v>
      </c>
      <c r="H28" s="20">
        <v>-261</v>
      </c>
      <c r="I28" s="20">
        <v>-346</v>
      </c>
      <c r="J28" s="20">
        <v>-94</v>
      </c>
      <c r="K28" s="20">
        <v>671</v>
      </c>
      <c r="L28" s="20">
        <v>238</v>
      </c>
      <c r="M28" s="20">
        <v>2015</v>
      </c>
    </row>
    <row r="29" spans="2:15" x14ac:dyDescent="0.25">
      <c r="B29" s="21" t="s">
        <v>60</v>
      </c>
      <c r="C29" s="22">
        <v>212</v>
      </c>
      <c r="D29" s="22">
        <v>309</v>
      </c>
      <c r="E29" s="32">
        <v>-623</v>
      </c>
      <c r="F29" s="22">
        <v>196</v>
      </c>
      <c r="G29" s="22">
        <v>66</v>
      </c>
      <c r="H29" s="32">
        <v>-235</v>
      </c>
      <c r="I29" s="32">
        <v>-241</v>
      </c>
      <c r="J29" s="22">
        <v>961</v>
      </c>
      <c r="K29" s="22">
        <v>335</v>
      </c>
      <c r="L29" s="22">
        <v>268</v>
      </c>
      <c r="M29" s="22">
        <v>138</v>
      </c>
    </row>
    <row r="30" spans="2:15" x14ac:dyDescent="0.25">
      <c r="B30" s="23" t="s">
        <v>61</v>
      </c>
      <c r="C30" s="20">
        <v>69</v>
      </c>
      <c r="D30" s="20">
        <v>27</v>
      </c>
      <c r="E30" s="20">
        <v>61</v>
      </c>
      <c r="F30" s="20">
        <v>19</v>
      </c>
      <c r="G30" s="20">
        <v>87</v>
      </c>
      <c r="H30" s="20">
        <v>26</v>
      </c>
      <c r="I30" s="20">
        <v>104</v>
      </c>
      <c r="J30" s="20">
        <v>1055</v>
      </c>
      <c r="K30" s="20">
        <v>-336</v>
      </c>
      <c r="L30" s="20">
        <v>31</v>
      </c>
      <c r="M30" s="20">
        <v>-1878</v>
      </c>
    </row>
    <row r="31" spans="2:15" x14ac:dyDescent="0.25">
      <c r="B31" s="24" t="s">
        <v>62</v>
      </c>
      <c r="C31" s="22">
        <v>69</v>
      </c>
      <c r="D31" s="22">
        <v>27</v>
      </c>
      <c r="E31" s="22">
        <v>61</v>
      </c>
      <c r="F31" s="22">
        <v>19</v>
      </c>
      <c r="G31" s="22">
        <v>87</v>
      </c>
      <c r="H31" s="22">
        <v>26</v>
      </c>
      <c r="I31" s="22">
        <v>104</v>
      </c>
      <c r="J31" s="22">
        <v>1055</v>
      </c>
      <c r="K31" s="32">
        <v>-336</v>
      </c>
      <c r="L31" s="22">
        <v>31</v>
      </c>
      <c r="M31" s="32">
        <v>-1878</v>
      </c>
    </row>
    <row r="32" spans="2:15" x14ac:dyDescent="0.25">
      <c r="B32" s="29" t="s">
        <v>63</v>
      </c>
      <c r="C32" s="20">
        <v>5912</v>
      </c>
      <c r="D32" s="20">
        <v>6207</v>
      </c>
      <c r="E32" s="20">
        <v>7601</v>
      </c>
      <c r="F32" s="20">
        <v>6625</v>
      </c>
      <c r="G32" s="20">
        <v>7164</v>
      </c>
      <c r="H32" s="20">
        <v>5387</v>
      </c>
      <c r="I32" s="20">
        <v>7723</v>
      </c>
      <c r="J32" s="20">
        <v>7446</v>
      </c>
      <c r="K32" s="20">
        <v>9733</v>
      </c>
      <c r="L32" s="20">
        <v>9564</v>
      </c>
      <c r="M32" s="20">
        <v>9671</v>
      </c>
    </row>
    <row r="33" spans="2:13" x14ac:dyDescent="0.25">
      <c r="B33" s="30" t="s">
        <v>64</v>
      </c>
      <c r="C33" s="18">
        <v>1827</v>
      </c>
      <c r="D33" s="18">
        <v>1970</v>
      </c>
      <c r="E33" s="18">
        <v>2998</v>
      </c>
      <c r="F33" s="18">
        <v>1604</v>
      </c>
      <c r="G33" s="18">
        <v>1780</v>
      </c>
      <c r="H33" s="18">
        <v>1237</v>
      </c>
      <c r="I33" s="18">
        <v>1339</v>
      </c>
      <c r="J33" s="18">
        <v>1568</v>
      </c>
      <c r="K33" s="18">
        <v>1899</v>
      </c>
      <c r="L33" s="18">
        <v>1961</v>
      </c>
      <c r="M33" s="18">
        <v>2048</v>
      </c>
    </row>
    <row r="34" spans="2:13" x14ac:dyDescent="0.25">
      <c r="B34" s="31" t="s">
        <v>65</v>
      </c>
      <c r="C34" s="27">
        <v>1093</v>
      </c>
      <c r="D34" s="27">
        <v>1056</v>
      </c>
      <c r="E34" s="27">
        <v>1951</v>
      </c>
      <c r="F34" s="27">
        <v>404</v>
      </c>
      <c r="G34" s="27">
        <v>640</v>
      </c>
      <c r="H34" s="27">
        <v>591</v>
      </c>
      <c r="I34" s="27">
        <v>944</v>
      </c>
      <c r="J34" s="27">
        <v>727</v>
      </c>
      <c r="K34" s="27">
        <v>1482</v>
      </c>
      <c r="L34" s="27">
        <v>1554</v>
      </c>
      <c r="M34" s="28"/>
    </row>
    <row r="35" spans="2:13" x14ac:dyDescent="0.25">
      <c r="B35" s="21" t="s">
        <v>66</v>
      </c>
      <c r="C35" s="22">
        <v>736</v>
      </c>
      <c r="D35" s="22">
        <v>1401</v>
      </c>
      <c r="E35" s="22">
        <v>1079</v>
      </c>
      <c r="F35" s="22">
        <v>1112</v>
      </c>
      <c r="G35" s="22">
        <v>1006</v>
      </c>
      <c r="H35" s="22">
        <v>641</v>
      </c>
      <c r="I35" s="22">
        <v>757</v>
      </c>
      <c r="J35" s="22">
        <v>1170</v>
      </c>
      <c r="K35" s="22">
        <v>1052</v>
      </c>
      <c r="L35" s="22">
        <v>937</v>
      </c>
      <c r="M35" s="25"/>
    </row>
    <row r="36" spans="2:13" x14ac:dyDescent="0.25">
      <c r="B36" s="31" t="s">
        <v>67</v>
      </c>
      <c r="C36" s="27">
        <v>3</v>
      </c>
      <c r="D36" s="33">
        <v>-98</v>
      </c>
      <c r="E36" s="33">
        <v>-95</v>
      </c>
      <c r="F36" s="27">
        <v>139</v>
      </c>
      <c r="G36" s="27">
        <v>52</v>
      </c>
      <c r="H36" s="27">
        <v>828</v>
      </c>
      <c r="I36" s="33">
        <v>-170</v>
      </c>
      <c r="J36" s="33">
        <v>-120</v>
      </c>
      <c r="K36" s="33">
        <v>-162</v>
      </c>
      <c r="L36" s="33">
        <v>-89</v>
      </c>
      <c r="M36" s="28"/>
    </row>
    <row r="37" spans="2:13" x14ac:dyDescent="0.25">
      <c r="B37" s="21" t="s">
        <v>68</v>
      </c>
      <c r="C37" s="32">
        <v>-4</v>
      </c>
      <c r="D37" s="32">
        <v>-389</v>
      </c>
      <c r="E37" s="22">
        <v>63</v>
      </c>
      <c r="F37" s="32">
        <v>-52</v>
      </c>
      <c r="G37" s="22">
        <v>81</v>
      </c>
      <c r="H37" s="32">
        <v>-822</v>
      </c>
      <c r="I37" s="32">
        <v>-192</v>
      </c>
      <c r="J37" s="32">
        <v>-209</v>
      </c>
      <c r="K37" s="32">
        <v>-472</v>
      </c>
      <c r="L37" s="32">
        <v>-442</v>
      </c>
      <c r="M37" s="25"/>
    </row>
    <row r="38" spans="2:13" x14ac:dyDescent="0.25">
      <c r="B38" s="28" t="s">
        <v>69</v>
      </c>
      <c r="C38" s="27">
        <v>4084</v>
      </c>
      <c r="D38" s="27">
        <v>4237</v>
      </c>
      <c r="E38" s="27">
        <v>4603</v>
      </c>
      <c r="F38" s="27">
        <v>5022</v>
      </c>
      <c r="G38" s="27">
        <v>5383</v>
      </c>
      <c r="H38" s="27">
        <v>4150</v>
      </c>
      <c r="I38" s="27">
        <v>6384</v>
      </c>
      <c r="J38" s="27">
        <v>5878</v>
      </c>
      <c r="K38" s="27">
        <v>7833</v>
      </c>
      <c r="L38" s="27">
        <v>7602</v>
      </c>
      <c r="M38" s="27">
        <v>7623</v>
      </c>
    </row>
    <row r="39" spans="2:13" x14ac:dyDescent="0.25">
      <c r="B39" s="17" t="s">
        <v>70</v>
      </c>
      <c r="C39" s="18">
        <v>4084</v>
      </c>
      <c r="D39" s="18">
        <v>4237</v>
      </c>
      <c r="E39" s="18">
        <v>4603</v>
      </c>
      <c r="F39" s="18">
        <v>5022</v>
      </c>
      <c r="G39" s="18">
        <v>5383</v>
      </c>
      <c r="H39" s="18">
        <v>4150</v>
      </c>
      <c r="I39" s="18">
        <v>6384</v>
      </c>
      <c r="J39" s="18">
        <v>5878</v>
      </c>
      <c r="K39" s="18">
        <v>7833</v>
      </c>
      <c r="L39" s="18">
        <v>7602</v>
      </c>
      <c r="M39" s="18">
        <v>7623</v>
      </c>
    </row>
    <row r="40" spans="2:13" x14ac:dyDescent="0.25">
      <c r="B40" s="34" t="s">
        <v>71</v>
      </c>
      <c r="C40" s="27">
        <v>4084</v>
      </c>
      <c r="D40" s="27">
        <v>4237</v>
      </c>
      <c r="E40" s="27">
        <v>4603</v>
      </c>
      <c r="F40" s="27">
        <v>5022</v>
      </c>
      <c r="G40" s="27">
        <v>5383</v>
      </c>
      <c r="H40" s="27">
        <v>4150</v>
      </c>
      <c r="I40" s="27">
        <v>6384</v>
      </c>
      <c r="J40" s="27">
        <v>5878</v>
      </c>
      <c r="K40" s="27">
        <v>7833</v>
      </c>
      <c r="L40" s="27">
        <v>7602</v>
      </c>
      <c r="M40" s="27">
        <v>7623</v>
      </c>
    </row>
    <row r="41" spans="2:13" x14ac:dyDescent="0.25">
      <c r="B41" s="17" t="s">
        <v>72</v>
      </c>
      <c r="C41" s="17"/>
      <c r="D41" s="17"/>
      <c r="E41" s="17"/>
      <c r="F41" s="17"/>
      <c r="G41" s="17"/>
      <c r="H41" s="17"/>
      <c r="I41" s="17"/>
      <c r="J41" s="17"/>
      <c r="K41" s="17"/>
      <c r="L41" s="35"/>
      <c r="M41" s="17"/>
    </row>
    <row r="42" spans="2:13" x14ac:dyDescent="0.25">
      <c r="B42" s="34" t="s">
        <v>73</v>
      </c>
      <c r="C42" s="36">
        <v>4.43</v>
      </c>
      <c r="D42" s="36">
        <v>5.15</v>
      </c>
      <c r="E42" s="36">
        <v>5.0599999999999996</v>
      </c>
      <c r="F42" s="36">
        <v>6.55</v>
      </c>
      <c r="G42" s="36">
        <v>7.02</v>
      </c>
      <c r="H42" s="36">
        <v>5.29</v>
      </c>
      <c r="I42" s="36">
        <v>8.17</v>
      </c>
      <c r="J42" s="36">
        <v>7.84</v>
      </c>
      <c r="K42" s="36">
        <v>11.34</v>
      </c>
      <c r="L42" s="36">
        <v>10.76</v>
      </c>
      <c r="M42" s="36">
        <v>12.62</v>
      </c>
    </row>
    <row r="43" spans="2:13" x14ac:dyDescent="0.25">
      <c r="B43" s="30" t="s">
        <v>74</v>
      </c>
      <c r="C43" s="37">
        <v>4.3499999999999996</v>
      </c>
      <c r="D43" s="37">
        <v>4.96</v>
      </c>
      <c r="E43" s="37">
        <v>5.7</v>
      </c>
      <c r="F43" s="37">
        <v>6.45</v>
      </c>
      <c r="G43" s="37">
        <v>7.1</v>
      </c>
      <c r="H43" s="37">
        <v>5.57</v>
      </c>
      <c r="I43" s="37">
        <v>8.5500000000000007</v>
      </c>
      <c r="J43" s="37">
        <v>7.98</v>
      </c>
      <c r="K43" s="37">
        <v>10.76</v>
      </c>
      <c r="L43" s="37">
        <v>10.58</v>
      </c>
      <c r="M43" s="37">
        <v>10.67</v>
      </c>
    </row>
    <row r="44" spans="2:13" x14ac:dyDescent="0.25">
      <c r="B44" s="31" t="s">
        <v>75</v>
      </c>
      <c r="C44" s="36">
        <v>939.4</v>
      </c>
      <c r="D44" s="36">
        <v>854.4</v>
      </c>
      <c r="E44" s="36">
        <v>807.4</v>
      </c>
      <c r="F44" s="36">
        <v>778.2</v>
      </c>
      <c r="G44" s="36">
        <v>758.1</v>
      </c>
      <c r="H44" s="36">
        <v>744.6</v>
      </c>
      <c r="I44" s="36">
        <v>746.3</v>
      </c>
      <c r="J44" s="36">
        <v>736.5</v>
      </c>
      <c r="K44" s="36">
        <v>727.9</v>
      </c>
      <c r="L44" s="36">
        <v>718.3</v>
      </c>
      <c r="M44" s="36">
        <v>712.9</v>
      </c>
    </row>
    <row r="45" spans="2:13" x14ac:dyDescent="0.25">
      <c r="B45" s="21" t="s">
        <v>76</v>
      </c>
      <c r="C45" s="38">
        <v>906.8</v>
      </c>
      <c r="D45" s="38">
        <v>819.3</v>
      </c>
      <c r="E45" s="38">
        <v>794.1</v>
      </c>
      <c r="F45" s="38">
        <v>767.1</v>
      </c>
      <c r="G45" s="38">
        <v>746.3</v>
      </c>
      <c r="H45" s="38">
        <v>745.4</v>
      </c>
      <c r="I45" s="38">
        <v>745.4</v>
      </c>
      <c r="J45" s="38">
        <v>744.8</v>
      </c>
      <c r="K45" s="38">
        <v>731.3</v>
      </c>
      <c r="L45" s="38">
        <v>715.2</v>
      </c>
      <c r="M45" s="38">
        <v>712.1</v>
      </c>
    </row>
    <row r="46" spans="2:13" x14ac:dyDescent="0.25">
      <c r="B46" s="19" t="s">
        <v>77</v>
      </c>
      <c r="C46" s="39">
        <v>4.33</v>
      </c>
      <c r="D46" s="39">
        <v>4.92</v>
      </c>
      <c r="E46" s="39">
        <v>5.65</v>
      </c>
      <c r="F46" s="39">
        <v>6.39</v>
      </c>
      <c r="G46" s="39">
        <v>7.04</v>
      </c>
      <c r="H46" s="39">
        <v>5.53</v>
      </c>
      <c r="I46" s="39">
        <v>8.49</v>
      </c>
      <c r="J46" s="39">
        <v>7.93</v>
      </c>
      <c r="K46" s="39">
        <v>10.7</v>
      </c>
      <c r="L46" s="39">
        <v>10.53</v>
      </c>
      <c r="M46" s="39">
        <v>10.62</v>
      </c>
    </row>
    <row r="47" spans="2:13" x14ac:dyDescent="0.25">
      <c r="B47" s="21" t="s">
        <v>78</v>
      </c>
      <c r="C47" s="38">
        <v>944.6</v>
      </c>
      <c r="D47" s="38">
        <v>861.2</v>
      </c>
      <c r="E47" s="38">
        <v>815.5</v>
      </c>
      <c r="F47" s="38">
        <v>785.6</v>
      </c>
      <c r="G47" s="38">
        <v>764.9</v>
      </c>
      <c r="H47" s="38">
        <v>750.1</v>
      </c>
      <c r="I47" s="38">
        <v>751.8</v>
      </c>
      <c r="J47" s="38">
        <v>741.3</v>
      </c>
      <c r="K47" s="38">
        <v>732.3</v>
      </c>
      <c r="L47" s="38">
        <v>721.9</v>
      </c>
      <c r="M47" s="38">
        <v>715.9</v>
      </c>
    </row>
    <row r="48" spans="2:13" x14ac:dyDescent="0.25">
      <c r="B48" s="31" t="s">
        <v>76</v>
      </c>
      <c r="C48" s="36">
        <v>906.8</v>
      </c>
      <c r="D48" s="36">
        <v>819.3</v>
      </c>
      <c r="E48" s="36">
        <v>794.1</v>
      </c>
      <c r="F48" s="36">
        <v>767.1</v>
      </c>
      <c r="G48" s="36">
        <v>746.3</v>
      </c>
      <c r="H48" s="36">
        <v>745.4</v>
      </c>
      <c r="I48" s="36">
        <v>745.4</v>
      </c>
      <c r="J48" s="36">
        <v>744.8</v>
      </c>
      <c r="K48" s="36">
        <v>731.3</v>
      </c>
      <c r="L48" s="36">
        <v>715.2</v>
      </c>
      <c r="M48" s="36">
        <v>712.1</v>
      </c>
    </row>
    <row r="49" spans="2:13" x14ac:dyDescent="0.25">
      <c r="B49" s="40" t="s">
        <v>79</v>
      </c>
      <c r="C49" s="38">
        <v>88.03</v>
      </c>
      <c r="D49" s="38">
        <v>91.89</v>
      </c>
      <c r="E49" s="38">
        <v>88.7</v>
      </c>
      <c r="F49" s="38">
        <v>90.97</v>
      </c>
      <c r="G49" s="38">
        <v>75.150000000000006</v>
      </c>
      <c r="H49" s="38">
        <v>92.54</v>
      </c>
      <c r="I49" s="38">
        <v>95.26</v>
      </c>
      <c r="J49" s="38">
        <v>93.07</v>
      </c>
      <c r="K49" s="38">
        <v>86.94</v>
      </c>
      <c r="L49" s="38">
        <v>85.76</v>
      </c>
      <c r="M49" s="25"/>
    </row>
    <row r="50" spans="2:13" x14ac:dyDescent="0.25">
      <c r="B50" s="19" t="s">
        <v>80</v>
      </c>
      <c r="C50" s="39">
        <v>3.1</v>
      </c>
      <c r="D50" s="39">
        <v>3.26</v>
      </c>
      <c r="E50" s="39">
        <v>3.4</v>
      </c>
      <c r="F50" s="39">
        <v>3.55</v>
      </c>
      <c r="G50" s="39">
        <v>4.2300000000000004</v>
      </c>
      <c r="H50" s="39">
        <v>4.42</v>
      </c>
      <c r="I50" s="39">
        <v>4.4400000000000004</v>
      </c>
      <c r="J50" s="39">
        <v>5.39</v>
      </c>
      <c r="K50" s="39">
        <v>5.76</v>
      </c>
      <c r="L50" s="39">
        <v>6.27</v>
      </c>
      <c r="M50" s="39">
        <v>6.41</v>
      </c>
    </row>
    <row r="51" spans="2:13" x14ac:dyDescent="0.25">
      <c r="B51" s="21" t="s">
        <v>81</v>
      </c>
      <c r="C51" s="38">
        <v>71.67</v>
      </c>
      <c r="D51" s="38">
        <v>66.36</v>
      </c>
      <c r="E51" s="38">
        <v>60.13</v>
      </c>
      <c r="F51" s="38">
        <v>55.57</v>
      </c>
      <c r="G51" s="38">
        <v>60.05</v>
      </c>
      <c r="H51" s="38">
        <v>79.92</v>
      </c>
      <c r="I51" s="38">
        <v>52.31</v>
      </c>
      <c r="J51" s="38">
        <v>67.92</v>
      </c>
      <c r="K51" s="38">
        <v>53.87</v>
      </c>
      <c r="L51" s="38">
        <v>59.52</v>
      </c>
      <c r="M51" s="38">
        <v>60.38</v>
      </c>
    </row>
    <row r="52" spans="2:13" x14ac:dyDescent="0.25">
      <c r="B52" s="29" t="s">
        <v>82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</row>
    <row r="53" spans="2:13" x14ac:dyDescent="0.25">
      <c r="B53" s="30" t="s">
        <v>82</v>
      </c>
      <c r="C53" s="18">
        <v>8035</v>
      </c>
      <c r="D53" s="18">
        <v>8440</v>
      </c>
      <c r="E53" s="18">
        <v>8647</v>
      </c>
      <c r="F53" s="18">
        <v>8534</v>
      </c>
      <c r="G53" s="18">
        <v>9378</v>
      </c>
      <c r="H53" s="18">
        <v>7819</v>
      </c>
      <c r="I53" s="18">
        <v>9849</v>
      </c>
      <c r="J53" s="18">
        <v>11632</v>
      </c>
      <c r="K53" s="18">
        <v>12669</v>
      </c>
      <c r="L53" s="18">
        <v>12903</v>
      </c>
      <c r="M53" s="18">
        <v>12949</v>
      </c>
    </row>
    <row r="54" spans="2:13" x14ac:dyDescent="0.25">
      <c r="B54" s="31" t="s">
        <v>83</v>
      </c>
      <c r="C54" s="27">
        <v>6632</v>
      </c>
      <c r="D54" s="27">
        <v>7069</v>
      </c>
      <c r="E54" s="27">
        <v>7438</v>
      </c>
      <c r="F54" s="27">
        <v>7278</v>
      </c>
      <c r="G54" s="27">
        <v>7932</v>
      </c>
      <c r="H54" s="27">
        <v>6283</v>
      </c>
      <c r="I54" s="27">
        <v>8269</v>
      </c>
      <c r="J54" s="27">
        <v>9852</v>
      </c>
      <c r="K54" s="27">
        <v>10840</v>
      </c>
      <c r="L54" s="27">
        <v>10964</v>
      </c>
      <c r="M54" s="27">
        <v>10978</v>
      </c>
    </row>
    <row r="55" spans="2:13" x14ac:dyDescent="0.25">
      <c r="B55" s="21" t="s">
        <v>45</v>
      </c>
      <c r="C55" s="22">
        <v>1403</v>
      </c>
      <c r="D55" s="22">
        <v>1371</v>
      </c>
      <c r="E55" s="22">
        <v>1209</v>
      </c>
      <c r="F55" s="22">
        <v>1256</v>
      </c>
      <c r="G55" s="22">
        <v>1446</v>
      </c>
      <c r="H55" s="22">
        <v>1536</v>
      </c>
      <c r="I55" s="22">
        <v>1580</v>
      </c>
      <c r="J55" s="22">
        <v>1780</v>
      </c>
      <c r="K55" s="22">
        <v>1830</v>
      </c>
      <c r="L55" s="22">
        <v>1939</v>
      </c>
      <c r="M55" s="22">
        <v>1971</v>
      </c>
    </row>
    <row r="56" spans="2:13" x14ac:dyDescent="0.25">
      <c r="B56" s="41" t="s">
        <v>84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3B06-FBBC-437C-B8AF-EAFFCECE944D}">
  <dimension ref="B1:M17"/>
  <sheetViews>
    <sheetView showGridLines="0" workbookViewId="0">
      <selection activeCell="J16" sqref="J16"/>
    </sheetView>
  </sheetViews>
  <sheetFormatPr defaultRowHeight="15" x14ac:dyDescent="0.25"/>
  <cols>
    <col min="2" max="2" width="27.5703125" customWidth="1"/>
  </cols>
  <sheetData>
    <row r="1" spans="2:13" x14ac:dyDescent="0.25">
      <c r="B1" s="12" t="s">
        <v>129</v>
      </c>
      <c r="C1" s="13"/>
      <c r="D1" s="13"/>
      <c r="E1" s="13"/>
      <c r="F1" s="13"/>
      <c r="G1" s="58"/>
      <c r="H1" s="13"/>
      <c r="I1" s="13"/>
      <c r="J1" s="13"/>
      <c r="K1" s="13"/>
      <c r="L1" s="13"/>
      <c r="M1" s="13"/>
    </row>
    <row r="2" spans="2:13" x14ac:dyDescent="0.25">
      <c r="B2" s="13" t="s">
        <v>130</v>
      </c>
      <c r="C2" s="13"/>
      <c r="D2" s="13"/>
      <c r="E2" s="13"/>
      <c r="F2" s="13"/>
      <c r="G2" s="58"/>
      <c r="H2" s="13"/>
      <c r="I2" s="13"/>
      <c r="J2" s="13"/>
      <c r="K2" s="13"/>
      <c r="L2" s="13"/>
      <c r="M2" s="13"/>
    </row>
    <row r="3" spans="2:13" x14ac:dyDescent="0.25">
      <c r="B3" s="59"/>
      <c r="C3" s="59" t="s">
        <v>131</v>
      </c>
      <c r="D3" s="59" t="s">
        <v>132</v>
      </c>
      <c r="E3" s="59" t="s">
        <v>133</v>
      </c>
      <c r="F3" s="59" t="s">
        <v>134</v>
      </c>
      <c r="G3" s="60" t="s">
        <v>135</v>
      </c>
      <c r="H3" s="59" t="s">
        <v>136</v>
      </c>
      <c r="I3" s="59" t="s">
        <v>137</v>
      </c>
      <c r="J3" s="59" t="s">
        <v>138</v>
      </c>
      <c r="K3" s="59" t="s">
        <v>139</v>
      </c>
      <c r="L3" s="59" t="s">
        <v>140</v>
      </c>
      <c r="M3" s="59" t="s">
        <v>141</v>
      </c>
    </row>
    <row r="4" spans="2:13" x14ac:dyDescent="0.25">
      <c r="B4" s="34" t="s">
        <v>42</v>
      </c>
      <c r="C4" s="27">
        <v>15845</v>
      </c>
      <c r="D4" s="27">
        <v>20830</v>
      </c>
      <c r="E4" s="27">
        <v>21346</v>
      </c>
      <c r="F4" s="27">
        <v>23769</v>
      </c>
      <c r="G4" s="61">
        <v>25127</v>
      </c>
      <c r="H4" s="27">
        <v>23060</v>
      </c>
      <c r="I4" s="27">
        <v>24346</v>
      </c>
      <c r="J4" s="27">
        <v>25549</v>
      </c>
      <c r="K4" s="27">
        <v>26280</v>
      </c>
      <c r="L4" s="27">
        <v>26724</v>
      </c>
      <c r="M4" s="27">
        <v>27928</v>
      </c>
    </row>
    <row r="5" spans="2:13" x14ac:dyDescent="0.25">
      <c r="B5" s="40" t="s">
        <v>142</v>
      </c>
      <c r="C5" s="22">
        <v>5759</v>
      </c>
      <c r="D5" s="22">
        <v>7218</v>
      </c>
      <c r="E5" s="22">
        <v>6796</v>
      </c>
      <c r="F5" s="22">
        <v>7668</v>
      </c>
      <c r="G5" s="62">
        <v>8079</v>
      </c>
      <c r="H5" s="22">
        <v>7100</v>
      </c>
      <c r="I5" s="22">
        <v>7503</v>
      </c>
      <c r="J5" s="22">
        <v>7846</v>
      </c>
      <c r="K5" s="25" t="s">
        <v>143</v>
      </c>
      <c r="L5" s="25" t="s">
        <v>143</v>
      </c>
      <c r="M5" s="25" t="s">
        <v>143</v>
      </c>
    </row>
    <row r="6" spans="2:13" x14ac:dyDescent="0.25">
      <c r="B6" s="34" t="s">
        <v>48</v>
      </c>
      <c r="C6" s="28" t="s">
        <v>143</v>
      </c>
      <c r="D6" s="27">
        <v>10463</v>
      </c>
      <c r="E6" s="27">
        <v>11493</v>
      </c>
      <c r="F6" s="27">
        <v>13578</v>
      </c>
      <c r="G6" s="63" t="s">
        <v>143</v>
      </c>
      <c r="H6" s="27">
        <v>12019</v>
      </c>
      <c r="I6" s="27">
        <v>12871</v>
      </c>
      <c r="J6" s="28" t="s">
        <v>143</v>
      </c>
      <c r="K6" s="28" t="s">
        <v>143</v>
      </c>
      <c r="L6" s="28" t="s">
        <v>143</v>
      </c>
      <c r="M6" s="28" t="s">
        <v>143</v>
      </c>
    </row>
    <row r="7" spans="2:13" x14ac:dyDescent="0.25">
      <c r="B7" s="40" t="s">
        <v>144</v>
      </c>
      <c r="C7" s="25" t="s">
        <v>143</v>
      </c>
      <c r="D7" s="25" t="s">
        <v>143</v>
      </c>
      <c r="E7" s="25" t="s">
        <v>143</v>
      </c>
      <c r="F7" s="25" t="s">
        <v>143</v>
      </c>
      <c r="G7" s="64" t="s">
        <v>143</v>
      </c>
      <c r="H7" s="22">
        <v>2212</v>
      </c>
      <c r="I7" s="22">
        <v>2328</v>
      </c>
      <c r="J7" s="25" t="s">
        <v>143</v>
      </c>
      <c r="K7" s="25" t="s">
        <v>143</v>
      </c>
      <c r="L7" s="25" t="s">
        <v>143</v>
      </c>
      <c r="M7" s="25" t="s">
        <v>143</v>
      </c>
    </row>
    <row r="8" spans="2:13" x14ac:dyDescent="0.25">
      <c r="B8" s="34" t="s">
        <v>82</v>
      </c>
      <c r="C8" s="27">
        <v>7314</v>
      </c>
      <c r="D8" s="27">
        <v>10722</v>
      </c>
      <c r="E8" s="27">
        <v>11281</v>
      </c>
      <c r="F8" s="27">
        <v>12964</v>
      </c>
      <c r="G8" s="61">
        <v>13602</v>
      </c>
      <c r="H8" s="27">
        <v>12649</v>
      </c>
      <c r="I8" s="27">
        <v>13507</v>
      </c>
      <c r="J8" s="27">
        <v>14343</v>
      </c>
      <c r="K8" s="27">
        <v>14732</v>
      </c>
      <c r="L8" s="27">
        <v>15423</v>
      </c>
      <c r="M8" s="27">
        <v>16266</v>
      </c>
    </row>
    <row r="9" spans="2:13" x14ac:dyDescent="0.25">
      <c r="B9" s="40" t="s">
        <v>145</v>
      </c>
      <c r="C9" s="22">
        <v>5890</v>
      </c>
      <c r="D9" s="22">
        <v>9158</v>
      </c>
      <c r="E9" s="22">
        <v>9558</v>
      </c>
      <c r="F9" s="22">
        <v>11114</v>
      </c>
      <c r="G9" s="62">
        <v>11634</v>
      </c>
      <c r="H9" s="22">
        <v>10766</v>
      </c>
      <c r="I9" s="22">
        <v>11544</v>
      </c>
      <c r="J9" s="22">
        <v>12260</v>
      </c>
      <c r="K9" s="22">
        <v>12694</v>
      </c>
      <c r="L9" s="22">
        <v>13648</v>
      </c>
      <c r="M9" s="22">
        <v>14487</v>
      </c>
    </row>
    <row r="10" spans="2:13" x14ac:dyDescent="0.25">
      <c r="B10" s="34" t="s">
        <v>63</v>
      </c>
      <c r="C10" s="27">
        <v>4926</v>
      </c>
      <c r="D10" s="27">
        <v>7998</v>
      </c>
      <c r="E10" s="27">
        <v>8595</v>
      </c>
      <c r="F10" s="27">
        <v>9820</v>
      </c>
      <c r="G10" s="61">
        <v>10258</v>
      </c>
      <c r="H10" s="27">
        <v>9456</v>
      </c>
      <c r="I10" s="27">
        <v>10235</v>
      </c>
      <c r="J10" s="27">
        <v>10972</v>
      </c>
      <c r="K10" s="27">
        <v>11366</v>
      </c>
      <c r="L10" s="27">
        <v>12298</v>
      </c>
      <c r="M10" s="27">
        <v>13128</v>
      </c>
    </row>
    <row r="11" spans="2:13" x14ac:dyDescent="0.25">
      <c r="B11" s="40" t="s">
        <v>146</v>
      </c>
      <c r="C11" s="22">
        <v>1163</v>
      </c>
      <c r="D11" s="22">
        <v>1609</v>
      </c>
      <c r="E11" s="22">
        <v>1517</v>
      </c>
      <c r="F11" s="22">
        <v>1915</v>
      </c>
      <c r="G11" s="62">
        <v>2056</v>
      </c>
      <c r="H11" s="22">
        <v>2020</v>
      </c>
      <c r="I11" s="22">
        <v>2158</v>
      </c>
      <c r="J11" s="22">
        <v>2327</v>
      </c>
      <c r="K11" s="22">
        <v>2418</v>
      </c>
      <c r="L11" s="22">
        <v>2582</v>
      </c>
      <c r="M11" s="22">
        <v>2757</v>
      </c>
    </row>
    <row r="12" spans="2:13" x14ac:dyDescent="0.25">
      <c r="B12" s="34" t="s">
        <v>70</v>
      </c>
      <c r="C12" s="27">
        <v>3744</v>
      </c>
      <c r="D12" s="27">
        <v>6258</v>
      </c>
      <c r="E12" s="27">
        <v>6892</v>
      </c>
      <c r="F12" s="27">
        <v>8151</v>
      </c>
      <c r="G12" s="61">
        <v>8200</v>
      </c>
      <c r="H12" s="27">
        <v>7465</v>
      </c>
      <c r="I12" s="27">
        <v>8083</v>
      </c>
      <c r="J12" s="27">
        <v>8675</v>
      </c>
      <c r="K12" s="27">
        <v>8988</v>
      </c>
      <c r="L12" s="27">
        <v>9813</v>
      </c>
      <c r="M12" s="27">
        <v>10466</v>
      </c>
    </row>
    <row r="14" spans="2:13" x14ac:dyDescent="0.25">
      <c r="B14" t="s">
        <v>147</v>
      </c>
      <c r="H14" s="45">
        <f t="shared" ref="H14:M14" si="0">H8/H4</f>
        <v>0.54852558542931484</v>
      </c>
      <c r="I14" s="45">
        <f t="shared" si="0"/>
        <v>0.55479339521892712</v>
      </c>
      <c r="J14" s="45">
        <f t="shared" si="0"/>
        <v>0.56139183529688053</v>
      </c>
      <c r="K14" s="45">
        <f t="shared" si="0"/>
        <v>0.56057838660578385</v>
      </c>
      <c r="L14" s="45">
        <f t="shared" si="0"/>
        <v>0.57712168837000444</v>
      </c>
      <c r="M14" s="45">
        <f t="shared" si="0"/>
        <v>0.58242623890002865</v>
      </c>
    </row>
    <row r="16" spans="2:13" x14ac:dyDescent="0.25">
      <c r="H16" s="67">
        <f t="shared" ref="H16:M16" si="1">H8-H9</f>
        <v>1883</v>
      </c>
      <c r="I16" s="67">
        <f t="shared" si="1"/>
        <v>1963</v>
      </c>
      <c r="J16" s="67">
        <f t="shared" si="1"/>
        <v>2083</v>
      </c>
      <c r="K16" s="67">
        <f t="shared" si="1"/>
        <v>2038</v>
      </c>
      <c r="L16" s="67">
        <f t="shared" si="1"/>
        <v>1775</v>
      </c>
      <c r="M16" s="67">
        <f t="shared" si="1"/>
        <v>1779</v>
      </c>
    </row>
    <row r="17" spans="8:13" x14ac:dyDescent="0.25">
      <c r="H17" s="45">
        <f t="shared" ref="H17:M17" si="2">H16/H4</f>
        <v>8.1656548135299226E-2</v>
      </c>
      <c r="I17" s="45">
        <f t="shared" si="2"/>
        <v>8.0629261480325315E-2</v>
      </c>
      <c r="J17" s="45">
        <f t="shared" si="2"/>
        <v>8.1529609769462608E-2</v>
      </c>
      <c r="K17" s="45">
        <f t="shared" si="2"/>
        <v>7.754946727549468E-2</v>
      </c>
      <c r="L17" s="45">
        <f t="shared" si="2"/>
        <v>6.6419697650052387E-2</v>
      </c>
      <c r="M17" s="45">
        <f t="shared" si="2"/>
        <v>6.3699513033514746E-2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E706-8798-4C49-B468-6FAF5F7130A3}">
  <dimension ref="A1:E21"/>
  <sheetViews>
    <sheetView showGridLines="0" workbookViewId="0">
      <selection activeCell="C15" sqref="C15"/>
    </sheetView>
  </sheetViews>
  <sheetFormatPr defaultRowHeight="15" x14ac:dyDescent="0.25"/>
  <cols>
    <col min="3" max="3" width="11.28515625" bestFit="1" customWidth="1"/>
  </cols>
  <sheetData>
    <row r="1" spans="1:5" s="1" customFormat="1" x14ac:dyDescent="0.25">
      <c r="A1" s="1" t="s">
        <v>219</v>
      </c>
      <c r="B1" s="1" t="s">
        <v>219</v>
      </c>
    </row>
    <row r="2" spans="1:5" s="1" customFormat="1" x14ac:dyDescent="0.25"/>
    <row r="3" spans="1:5" s="1" customFormat="1" ht="26.25" x14ac:dyDescent="0.4">
      <c r="B3" s="96" t="s">
        <v>121</v>
      </c>
      <c r="C3" s="2"/>
    </row>
    <row r="5" spans="1:5" ht="15.75" x14ac:dyDescent="0.25">
      <c r="B5" s="55" t="s">
        <v>220</v>
      </c>
    </row>
    <row r="6" spans="1:5" ht="15.75" x14ac:dyDescent="0.25">
      <c r="B6" s="55" t="s">
        <v>221</v>
      </c>
    </row>
    <row r="7" spans="1:5" ht="15.75" x14ac:dyDescent="0.25">
      <c r="B7" s="55" t="s">
        <v>222</v>
      </c>
    </row>
    <row r="9" spans="1:5" ht="15.75" x14ac:dyDescent="0.25">
      <c r="B9" s="73" t="s">
        <v>223</v>
      </c>
      <c r="C9" s="97">
        <v>4.3799999999999999E-2</v>
      </c>
      <c r="E9" s="98" t="s">
        <v>224</v>
      </c>
    </row>
    <row r="10" spans="1:5" ht="15.75" x14ac:dyDescent="0.25">
      <c r="B10" s="73" t="s">
        <v>225</v>
      </c>
      <c r="C10" s="99">
        <v>0.56999999999999995</v>
      </c>
      <c r="E10" s="98" t="s">
        <v>226</v>
      </c>
    </row>
    <row r="11" spans="1:5" ht="15.75" x14ac:dyDescent="0.25">
      <c r="B11" s="73" t="s">
        <v>227</v>
      </c>
      <c r="C11" s="100">
        <v>4.5999999999999999E-2</v>
      </c>
      <c r="E11" s="98" t="s">
        <v>228</v>
      </c>
    </row>
    <row r="12" spans="1:5" ht="15.75" x14ac:dyDescent="0.25">
      <c r="B12" s="55" t="s">
        <v>229</v>
      </c>
      <c r="C12" s="101">
        <f>C9+C10*C11</f>
        <v>7.0019999999999999E-2</v>
      </c>
    </row>
    <row r="14" spans="1:5" ht="15.75" x14ac:dyDescent="0.25">
      <c r="B14" s="73" t="s">
        <v>230</v>
      </c>
      <c r="C14" s="102">
        <v>217140</v>
      </c>
      <c r="E14" s="98" t="s">
        <v>226</v>
      </c>
    </row>
    <row r="15" spans="1:5" ht="15.75" x14ac:dyDescent="0.25">
      <c r="B15" s="73" t="s">
        <v>231</v>
      </c>
      <c r="C15" s="103">
        <f>BS!L46</f>
        <v>49552.871610000002</v>
      </c>
      <c r="E15" s="98" t="s">
        <v>232</v>
      </c>
    </row>
    <row r="16" spans="1:5" ht="15.75" x14ac:dyDescent="0.25">
      <c r="B16" s="55" t="s">
        <v>233</v>
      </c>
      <c r="C16" s="45">
        <f>C14/(SUM(C14:C15))</f>
        <v>0.81419499024906827</v>
      </c>
    </row>
    <row r="17" spans="2:3" ht="15.75" x14ac:dyDescent="0.25">
      <c r="B17" s="55" t="s">
        <v>234</v>
      </c>
      <c r="C17" s="45">
        <f>C15/SUM(C14:C15)</f>
        <v>0.18580500975093159</v>
      </c>
    </row>
    <row r="18" spans="2:3" ht="15.75" x14ac:dyDescent="0.25">
      <c r="B18" s="73" t="s">
        <v>235</v>
      </c>
      <c r="C18" s="104">
        <f>1-DCF!M70</f>
        <v>0.79823580885670808</v>
      </c>
    </row>
    <row r="19" spans="2:3" ht="15.75" x14ac:dyDescent="0.25">
      <c r="B19" s="55" t="s">
        <v>236</v>
      </c>
      <c r="C19" s="101">
        <f>IS!L25/C15</f>
        <v>2.8958967530560032E-2</v>
      </c>
    </row>
    <row r="21" spans="2:3" ht="15.75" x14ac:dyDescent="0.25">
      <c r="B21" s="105" t="s">
        <v>121</v>
      </c>
      <c r="C21" s="106">
        <f>C12*C16+C19*C18*C17</f>
        <v>6.1305017591989974E-2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DCF</vt:lpstr>
      <vt:lpstr>Summary</vt:lpstr>
      <vt:lpstr>Comps</vt:lpstr>
      <vt:lpstr>52 Week Share Price</vt:lpstr>
      <vt:lpstr>BS</vt:lpstr>
      <vt:lpstr>IS</vt:lpstr>
      <vt:lpstr>Estimates IS</vt:lpstr>
      <vt:lpstr>WACC</vt:lpstr>
      <vt:lpstr>D</vt:lpstr>
      <vt:lpstr>D_perc</vt:lpstr>
      <vt:lpstr>E</vt:lpstr>
      <vt:lpstr>E_perc</vt:lpstr>
      <vt:lpstr>kd</vt:lpstr>
      <vt:lpstr>ke</vt:lpstr>
      <vt:lpstr>Tax_shield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Stojanovski</dc:creator>
  <cp:lastModifiedBy>Brendan Stojanovski</cp:lastModifiedBy>
  <dcterms:created xsi:type="dcterms:W3CDTF">2026-04-22T16:19:09Z</dcterms:created>
  <dcterms:modified xsi:type="dcterms:W3CDTF">2026-05-19T01:37:34Z</dcterms:modified>
</cp:coreProperties>
</file>