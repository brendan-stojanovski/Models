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cuments\Portfolio Models\"/>
    </mc:Choice>
  </mc:AlternateContent>
  <xr:revisionPtr revIDLastSave="0" documentId="13_ncr:1_{42DBDB06-F5FB-488C-A6C6-4FA89BA4A10A}" xr6:coauthVersionLast="47" xr6:coauthVersionMax="47" xr10:uidLastSave="{00000000-0000-0000-0000-000000000000}"/>
  <bookViews>
    <workbookView xWindow="-120" yWindow="-120" windowWidth="20730" windowHeight="11040" xr2:uid="{48854C37-18D6-4D08-8A1D-FDFFF897027F}"/>
  </bookViews>
  <sheets>
    <sheet name="DCF" sheetId="2" r:id="rId1"/>
    <sheet name="WACC" sheetId="7" r:id="rId2"/>
    <sheet name="Shares" sheetId="8" r:id="rId3"/>
    <sheet name="IS - Historical" sheetId="3" r:id="rId4"/>
    <sheet name="CFS - Historicals" sheetId="4" r:id="rId5"/>
    <sheet name="IS - Estimates" sheetId="5" r:id="rId6"/>
    <sheet name="CFS - Estimates" sheetId="6" r:id="rId7"/>
  </sheets>
  <externalReferences>
    <externalReference r:id="rId8"/>
    <externalReference r:id="rId9"/>
    <externalReference r:id="rId10"/>
    <externalReference r:id="rId11"/>
  </externalReferences>
  <definedNames>
    <definedName name="_bdm.2ce96c87f19a450da146a0c4aa3f4f37.edm" hidden="1">#REF!</definedName>
    <definedName name="_xlnm.Database">[1]Database!$B$11:$XFD$1048576</definedName>
    <definedName name="dr">[2]DCF!$E$18</definedName>
    <definedName name="tg">[2]DCF!$E$19</definedName>
    <definedName name="tgr" localSheetId="2">[3]DCF!$E$19</definedName>
    <definedName name="tgr">[4]DCF!$E$19</definedName>
    <definedName name="wacc" localSheetId="2">[3]DCF!$E$18</definedName>
    <definedName name="wacc">[4]DCF!$E$18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3" i="2" l="1"/>
  <c r="P86" i="2"/>
  <c r="E30" i="8"/>
  <c r="E29" i="8"/>
  <c r="E9" i="8" s="1"/>
  <c r="E10" i="8" s="1"/>
  <c r="E28" i="8"/>
  <c r="E27" i="8"/>
  <c r="E26" i="8"/>
  <c r="E25" i="8"/>
  <c r="E24" i="8"/>
  <c r="B24" i="8"/>
  <c r="B25" i="8" s="1"/>
  <c r="B26" i="8" s="1"/>
  <c r="B27" i="8" s="1"/>
  <c r="B28" i="8" s="1"/>
  <c r="B29" i="8" s="1"/>
  <c r="B30" i="8" s="1"/>
  <c r="E23" i="8"/>
  <c r="B23" i="8"/>
  <c r="E22" i="8"/>
  <c r="B22" i="8"/>
  <c r="E21" i="8"/>
  <c r="E32" i="8" s="1"/>
  <c r="E8" i="8" s="1"/>
  <c r="E11" i="8" s="1"/>
  <c r="E7" i="8"/>
  <c r="E16" i="8" l="1"/>
  <c r="L75" i="2" l="1"/>
  <c r="L76" i="2" s="1"/>
  <c r="E19" i="2"/>
  <c r="P67" i="2"/>
  <c r="P64" i="2"/>
  <c r="E66" i="2"/>
  <c r="P56" i="2"/>
  <c r="P54" i="2"/>
  <c r="P55" i="2"/>
  <c r="P53" i="2" s="1"/>
  <c r="M40" i="2"/>
  <c r="N40" i="2"/>
  <c r="O40" i="2"/>
  <c r="L39" i="2"/>
  <c r="L40" i="2" s="1"/>
  <c r="L67" i="2" s="1"/>
  <c r="M67" i="2" s="1"/>
  <c r="N67" i="2" s="1"/>
  <c r="O67" i="2" s="1"/>
  <c r="M39" i="2"/>
  <c r="N39" i="2"/>
  <c r="O39" i="2"/>
  <c r="K39" i="2"/>
  <c r="K40" i="2" s="1"/>
  <c r="K67" i="2" s="1"/>
  <c r="K37" i="2"/>
  <c r="K64" i="2" s="1"/>
  <c r="M37" i="2"/>
  <c r="L36" i="2"/>
  <c r="M36" i="2"/>
  <c r="N36" i="2"/>
  <c r="O36" i="2"/>
  <c r="O37" i="2" s="1"/>
  <c r="K36" i="2"/>
  <c r="N44" i="2"/>
  <c r="O44" i="2" s="1"/>
  <c r="P44" i="2" s="1"/>
  <c r="M44" i="2"/>
  <c r="H52" i="2"/>
  <c r="M30" i="2"/>
  <c r="M55" i="2" s="1"/>
  <c r="N30" i="2"/>
  <c r="O30" i="2"/>
  <c r="L29" i="2"/>
  <c r="L30" i="2" s="1"/>
  <c r="L55" i="2" s="1"/>
  <c r="M29" i="2"/>
  <c r="N29" i="2"/>
  <c r="O29" i="2"/>
  <c r="K29" i="2"/>
  <c r="K52" i="2" s="1"/>
  <c r="M27" i="2"/>
  <c r="M49" i="2" s="1"/>
  <c r="L26" i="2"/>
  <c r="L37" i="2" s="1"/>
  <c r="L64" i="2" s="1"/>
  <c r="M64" i="2" s="1"/>
  <c r="N64" i="2" s="1"/>
  <c r="O64" i="2" s="1"/>
  <c r="M26" i="2"/>
  <c r="N26" i="2"/>
  <c r="N37" i="2" s="1"/>
  <c r="O26" i="2"/>
  <c r="O27" i="2" s="1"/>
  <c r="K26" i="2"/>
  <c r="L27" i="2" s="1"/>
  <c r="L49" i="2" s="1"/>
  <c r="F46" i="2"/>
  <c r="F42" i="2"/>
  <c r="F69" i="2" s="1"/>
  <c r="G42" i="2"/>
  <c r="G69" i="2" s="1"/>
  <c r="H42" i="2"/>
  <c r="H69" i="2" s="1"/>
  <c r="I42" i="2"/>
  <c r="I69" i="2" s="1"/>
  <c r="J42" i="2"/>
  <c r="J69" i="2" s="1"/>
  <c r="E42" i="2"/>
  <c r="E69" i="2" s="1"/>
  <c r="I40" i="2"/>
  <c r="J40" i="2"/>
  <c r="E40" i="2"/>
  <c r="F39" i="2"/>
  <c r="F40" i="2" s="1"/>
  <c r="G39" i="2"/>
  <c r="G40" i="2" s="1"/>
  <c r="H39" i="2"/>
  <c r="H66" i="2" s="1"/>
  <c r="I39" i="2"/>
  <c r="I66" i="2" s="1"/>
  <c r="J39" i="2"/>
  <c r="J66" i="2" s="1"/>
  <c r="E39" i="2"/>
  <c r="H37" i="2"/>
  <c r="F36" i="2"/>
  <c r="F63" i="2" s="1"/>
  <c r="F64" i="2" s="1"/>
  <c r="G36" i="2"/>
  <c r="G63" i="2" s="1"/>
  <c r="G64" i="2" s="1"/>
  <c r="H36" i="2"/>
  <c r="H63" i="2" s="1"/>
  <c r="H64" i="2" s="1"/>
  <c r="I36" i="2"/>
  <c r="I37" i="2" s="1"/>
  <c r="J36" i="2"/>
  <c r="J37" i="2" s="1"/>
  <c r="E36" i="2"/>
  <c r="E63" i="2" s="1"/>
  <c r="E64" i="2" s="1"/>
  <c r="E30" i="2"/>
  <c r="E53" i="2" s="1"/>
  <c r="J32" i="2"/>
  <c r="J33" i="2"/>
  <c r="J59" i="2" s="1"/>
  <c r="F32" i="2"/>
  <c r="G32" i="2"/>
  <c r="H32" i="2"/>
  <c r="I32" i="2"/>
  <c r="E32" i="2"/>
  <c r="F33" i="2"/>
  <c r="F59" i="2" s="1"/>
  <c r="K59" i="2" s="1"/>
  <c r="G33" i="2"/>
  <c r="G59" i="2" s="1"/>
  <c r="H33" i="2"/>
  <c r="H59" i="2" s="1"/>
  <c r="I33" i="2"/>
  <c r="I59" i="2" s="1"/>
  <c r="E33" i="2"/>
  <c r="E59" i="2" s="1"/>
  <c r="E29" i="2"/>
  <c r="E52" i="2" s="1"/>
  <c r="F29" i="2"/>
  <c r="F30" i="2" s="1"/>
  <c r="F53" i="2" s="1"/>
  <c r="G29" i="2"/>
  <c r="G52" i="2" s="1"/>
  <c r="G58" i="2" s="1"/>
  <c r="H29" i="2"/>
  <c r="H30" i="2" s="1"/>
  <c r="H53" i="2" s="1"/>
  <c r="I29" i="2"/>
  <c r="I52" i="2" s="1"/>
  <c r="J29" i="2"/>
  <c r="J52" i="2" s="1"/>
  <c r="J58" i="2" s="1"/>
  <c r="J27" i="2"/>
  <c r="J47" i="2" s="1"/>
  <c r="F26" i="2"/>
  <c r="F37" i="2" s="1"/>
  <c r="G26" i="2"/>
  <c r="G46" i="2" s="1"/>
  <c r="H26" i="2"/>
  <c r="H46" i="2" s="1"/>
  <c r="I26" i="2"/>
  <c r="I46" i="2" s="1"/>
  <c r="J26" i="2"/>
  <c r="J46" i="2" s="1"/>
  <c r="E26" i="2"/>
  <c r="E46" i="2" s="1"/>
  <c r="F17" i="7"/>
  <c r="F10" i="7"/>
  <c r="F20" i="7"/>
  <c r="F9" i="7" s="1"/>
  <c r="F16" i="7"/>
  <c r="F45" i="2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E45" i="2"/>
  <c r="F35" i="2"/>
  <c r="G35" i="2" s="1"/>
  <c r="H35" i="2" s="1"/>
  <c r="I35" i="2" s="1"/>
  <c r="J35" i="2" s="1"/>
  <c r="K35" i="2" s="1"/>
  <c r="L35" i="2" s="1"/>
  <c r="M35" i="2" s="1"/>
  <c r="N35" i="2" s="1"/>
  <c r="O35" i="2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M48" i="2" l="1"/>
  <c r="N49" i="2"/>
  <c r="O49" i="2" s="1"/>
  <c r="P49" i="2" s="1"/>
  <c r="M50" i="2"/>
  <c r="N50" i="2" s="1"/>
  <c r="O50" i="2" s="1"/>
  <c r="P50" i="2" s="1"/>
  <c r="M54" i="2"/>
  <c r="M53" i="2"/>
  <c r="N55" i="2"/>
  <c r="M56" i="2"/>
  <c r="N56" i="2" s="1"/>
  <c r="O56" i="2" s="1"/>
  <c r="K58" i="2"/>
  <c r="H58" i="2"/>
  <c r="I58" i="2"/>
  <c r="L48" i="2"/>
  <c r="L47" i="2" s="1"/>
  <c r="L50" i="2"/>
  <c r="J67" i="2"/>
  <c r="I67" i="2"/>
  <c r="L54" i="2"/>
  <c r="L56" i="2"/>
  <c r="L53" i="2"/>
  <c r="F18" i="7"/>
  <c r="F22" i="7" s="1"/>
  <c r="O18" i="2" s="1"/>
  <c r="T18" i="2" s="1"/>
  <c r="L59" i="2"/>
  <c r="M59" i="2" s="1"/>
  <c r="N59" i="2" s="1"/>
  <c r="O59" i="2" s="1"/>
  <c r="P59" i="2" s="1"/>
  <c r="E58" i="2"/>
  <c r="H67" i="2"/>
  <c r="E67" i="2"/>
  <c r="F43" i="2"/>
  <c r="F70" i="2" s="1"/>
  <c r="K27" i="2"/>
  <c r="K47" i="2" s="1"/>
  <c r="F52" i="2"/>
  <c r="F58" i="2" s="1"/>
  <c r="N54" i="2"/>
  <c r="O54" i="2" s="1"/>
  <c r="J63" i="2"/>
  <c r="J64" i="2" s="1"/>
  <c r="M76" i="2"/>
  <c r="N76" i="2" s="1"/>
  <c r="O76" i="2" s="1"/>
  <c r="P76" i="2" s="1"/>
  <c r="K46" i="2"/>
  <c r="K63" i="2" s="1"/>
  <c r="I63" i="2"/>
  <c r="I64" i="2" s="1"/>
  <c r="K30" i="2"/>
  <c r="K53" i="2" s="1"/>
  <c r="G66" i="2"/>
  <c r="G67" i="2" s="1"/>
  <c r="H43" i="2"/>
  <c r="H70" i="2" s="1"/>
  <c r="G37" i="2"/>
  <c r="F27" i="2"/>
  <c r="F47" i="2" s="1"/>
  <c r="J30" i="2"/>
  <c r="J53" i="2" s="1"/>
  <c r="I27" i="2"/>
  <c r="I47" i="2" s="1"/>
  <c r="H27" i="2"/>
  <c r="H47" i="2" s="1"/>
  <c r="G30" i="2"/>
  <c r="G53" i="2" s="1"/>
  <c r="E37" i="2"/>
  <c r="E43" i="2"/>
  <c r="E70" i="2" s="1"/>
  <c r="F66" i="2"/>
  <c r="F67" i="2" s="1"/>
  <c r="I30" i="2"/>
  <c r="I53" i="2" s="1"/>
  <c r="H40" i="2"/>
  <c r="G27" i="2"/>
  <c r="G47" i="2" s="1"/>
  <c r="J43" i="2"/>
  <c r="J70" i="2" s="1"/>
  <c r="I43" i="2"/>
  <c r="I70" i="2" s="1"/>
  <c r="N27" i="2"/>
  <c r="G43" i="2"/>
  <c r="G70" i="2" s="1"/>
  <c r="O55" i="2" l="1"/>
  <c r="O53" i="2" s="1"/>
  <c r="N53" i="2"/>
  <c r="J18" i="2"/>
  <c r="E18" i="2" s="1"/>
  <c r="L46" i="2"/>
  <c r="L52" i="2" s="1"/>
  <c r="L58" i="2" s="1"/>
  <c r="L61" i="2" s="1"/>
  <c r="K66" i="2"/>
  <c r="K70" i="2"/>
  <c r="N48" i="2"/>
  <c r="M47" i="2"/>
  <c r="K69" i="2" l="1"/>
  <c r="L70" i="2"/>
  <c r="O48" i="2"/>
  <c r="N47" i="2"/>
  <c r="L63" i="2"/>
  <c r="L66" i="2"/>
  <c r="M46" i="2"/>
  <c r="M69" i="2" l="1"/>
  <c r="M52" i="2"/>
  <c r="M58" i="2" s="1"/>
  <c r="M61" i="2" s="1"/>
  <c r="M63" i="2"/>
  <c r="N46" i="2"/>
  <c r="M66" i="2"/>
  <c r="P48" i="2"/>
  <c r="P47" i="2" s="1"/>
  <c r="O47" i="2"/>
  <c r="M70" i="2"/>
  <c r="N70" i="2" s="1"/>
  <c r="O70" i="2" s="1"/>
  <c r="P70" i="2" s="1"/>
  <c r="L69" i="2"/>
  <c r="L72" i="2" s="1"/>
  <c r="L73" i="2" s="1"/>
  <c r="M72" i="2" l="1"/>
  <c r="M73" i="2" s="1"/>
  <c r="N69" i="2"/>
  <c r="N52" i="2"/>
  <c r="N58" i="2" s="1"/>
  <c r="N61" i="2" s="1"/>
  <c r="N63" i="2"/>
  <c r="O46" i="2"/>
  <c r="N66" i="2"/>
  <c r="O69" i="2" l="1"/>
  <c r="O66" i="2"/>
  <c r="O52" i="2"/>
  <c r="O58" i="2" s="1"/>
  <c r="O61" i="2" s="1"/>
  <c r="O63" i="2"/>
  <c r="P46" i="2"/>
  <c r="N72" i="2"/>
  <c r="N73" i="2" s="1"/>
  <c r="P69" i="2" l="1"/>
  <c r="P63" i="2"/>
  <c r="P52" i="2"/>
  <c r="P58" i="2" s="1"/>
  <c r="P61" i="2" s="1"/>
  <c r="P66" i="2"/>
  <c r="O72" i="2"/>
  <c r="O73" i="2" s="1"/>
  <c r="P72" i="2" l="1"/>
  <c r="P73" i="2" s="1"/>
  <c r="P78" i="2" l="1"/>
  <c r="P79" i="2" s="1"/>
  <c r="P81" i="2" s="1"/>
  <c r="P84" i="2" s="1"/>
  <c r="P87" i="2" s="1"/>
</calcChain>
</file>

<file path=xl/sharedStrings.xml><?xml version="1.0" encoding="utf-8"?>
<sst xmlns="http://schemas.openxmlformats.org/spreadsheetml/2006/main" count="898" uniqueCount="247">
  <si>
    <t>DCF</t>
  </si>
  <si>
    <t>Ticker</t>
  </si>
  <si>
    <t>Date</t>
  </si>
  <si>
    <t>Year End</t>
  </si>
  <si>
    <t>Current Stock Price</t>
  </si>
  <si>
    <t>Implied Share Price</t>
  </si>
  <si>
    <t>Upside/ (Downside)</t>
  </si>
  <si>
    <t>x</t>
  </si>
  <si>
    <t>Assumptions</t>
  </si>
  <si>
    <t>Switches</t>
  </si>
  <si>
    <t>Revenue</t>
  </si>
  <si>
    <t>EBIT</t>
  </si>
  <si>
    <t>WACC</t>
  </si>
  <si>
    <t>TGR</t>
  </si>
  <si>
    <t>Valuation</t>
  </si>
  <si>
    <t>Cash Flow</t>
  </si>
  <si>
    <t>D&amp;A 2030 Target</t>
  </si>
  <si>
    <t>CapEx 2030 Target</t>
  </si>
  <si>
    <t>Income Statement (12/31)</t>
  </si>
  <si>
    <t>Conservative</t>
  </si>
  <si>
    <t>Revenue (% of street)</t>
  </si>
  <si>
    <t>Revenue Decel</t>
  </si>
  <si>
    <t>EBIT (% of street)</t>
  </si>
  <si>
    <t>EBIT Margin Target</t>
  </si>
  <si>
    <t>Year</t>
  </si>
  <si>
    <t>Metric</t>
  </si>
  <si>
    <t>'26-'27</t>
  </si>
  <si>
    <t>'28-'30</t>
  </si>
  <si>
    <t>'30</t>
  </si>
  <si>
    <t>Base</t>
  </si>
  <si>
    <t>Optimistic</t>
  </si>
  <si>
    <t>% growth</t>
  </si>
  <si>
    <t>% of sales</t>
  </si>
  <si>
    <t>Taxes</t>
  </si>
  <si>
    <t>Tax rate</t>
  </si>
  <si>
    <t>D&amp;A</t>
  </si>
  <si>
    <t>CapEx</t>
  </si>
  <si>
    <t>Change in NWC</t>
  </si>
  <si>
    <t>DCF (12/31, USD M)</t>
  </si>
  <si>
    <t>Base (Street)</t>
  </si>
  <si>
    <t>Cash Flow Items (12/31)</t>
  </si>
  <si>
    <t>EBIAT</t>
  </si>
  <si>
    <t>Period</t>
  </si>
  <si>
    <t>Discount Period</t>
  </si>
  <si>
    <t>TV</t>
  </si>
  <si>
    <t>PV of TV</t>
  </si>
  <si>
    <t>UFCF</t>
  </si>
  <si>
    <t>PV of UFCF</t>
  </si>
  <si>
    <t>(+) Cash</t>
  </si>
  <si>
    <t>(-) Debt</t>
  </si>
  <si>
    <t>X</t>
  </si>
  <si>
    <t>All figures in millions of U.S. Dollar except per share items.</t>
  </si>
  <si>
    <t>-</t>
  </si>
  <si>
    <t>Diluted</t>
  </si>
  <si>
    <t>Basic</t>
  </si>
  <si>
    <t>Class C</t>
  </si>
  <si>
    <t>Class B</t>
  </si>
  <si>
    <t>Class A</t>
  </si>
  <si>
    <t>Class A and B common stock and Class C capital stock</t>
  </si>
  <si>
    <t>Weighted average shares</t>
  </si>
  <si>
    <t>Discontinued operations</t>
  </si>
  <si>
    <t>Continuing operations</t>
  </si>
  <si>
    <t>Per share</t>
  </si>
  <si>
    <t>Net income available to all stockholders</t>
  </si>
  <si>
    <t>Adjustment payment to Class C capital stockholders</t>
  </si>
  <si>
    <t>Net income / loss</t>
  </si>
  <si>
    <t>Net income / loss from discontinued operations</t>
  </si>
  <si>
    <t>Net income from continuing operations</t>
  </si>
  <si>
    <t>Provision for income taxes</t>
  </si>
  <si>
    <t>Income before income taxes</t>
  </si>
  <si>
    <t>Other income / expense, net</t>
  </si>
  <si>
    <t>Impairment of equity investments</t>
  </si>
  <si>
    <t>Income from operations</t>
  </si>
  <si>
    <t>Charge related to the resolution of Department of Justice Investigation</t>
  </si>
  <si>
    <t>Non-recurring portion of settlement of disputes with Yahoo</t>
  </si>
  <si>
    <t>Contribution to Google Foundation</t>
  </si>
  <si>
    <t>European commission fine</t>
  </si>
  <si>
    <t>General and administrative</t>
  </si>
  <si>
    <t>Sales and marketing</t>
  </si>
  <si>
    <t>Research and development</t>
  </si>
  <si>
    <t>Cost of revenues - Motorola Mobile (hardware and other)</t>
  </si>
  <si>
    <t>Cost of revenues</t>
  </si>
  <si>
    <t>Total costs and expenses</t>
  </si>
  <si>
    <t>Motorola Mobile (hardware and other)</t>
  </si>
  <si>
    <t>Google (advertising and other)</t>
  </si>
  <si>
    <t>Revenues</t>
  </si>
  <si>
    <t>PRELIM</t>
  </si>
  <si>
    <t>31 DEC '24</t>
  </si>
  <si>
    <t>31 DEC '23</t>
  </si>
  <si>
    <t>31 DEC '22</t>
  </si>
  <si>
    <t>31 DEC '21</t>
  </si>
  <si>
    <t>31 DEC '20</t>
  </si>
  <si>
    <t>31 DEC '19</t>
  </si>
  <si>
    <t>31 DEC '18</t>
  </si>
  <si>
    <t>31 DEC '17</t>
  </si>
  <si>
    <t>31 DEC '16</t>
  </si>
  <si>
    <t>31 DEC '15</t>
  </si>
  <si>
    <t>FactSet Fundamentals</t>
  </si>
  <si>
    <t xml:space="preserve">GOOGL   02079K305   BYVY8G0   NASDAQ    Common stock    </t>
  </si>
  <si>
    <t>Alphabet Inc. Class A</t>
  </si>
  <si>
    <t>$327.93</t>
  </si>
  <si>
    <t>Alphabet Inc. Class A (GOOGL)</t>
  </si>
  <si>
    <t>All figures in millions of U.S. Dollar.</t>
  </si>
  <si>
    <t>Receipt of notes receivable in connection with the divestiture of Motorola Mobile</t>
  </si>
  <si>
    <t>Receipt of Lenovo shares in connection with the divestiture of Motorola Mobile</t>
  </si>
  <si>
    <t>Shares issued in connection with the Class C adjustment payment</t>
  </si>
  <si>
    <t>Leases recorded on the balance sheet during the period</t>
  </si>
  <si>
    <t>Fair value of stock-based awards assumed in connection with acquisition of Motorola</t>
  </si>
  <si>
    <t>Receipt of Arris shares in connection with the divestiture of Motorola Home</t>
  </si>
  <si>
    <t>Non-cash investing and financing activities</t>
  </si>
  <si>
    <t>Cash paid for interest</t>
  </si>
  <si>
    <t>Cash paid for taxes</t>
  </si>
  <si>
    <t>Supplemental disclosure</t>
  </si>
  <si>
    <t>Cash and cash equivalents at end of period</t>
  </si>
  <si>
    <t>Cash and cash equivalents at beginning of period</t>
  </si>
  <si>
    <t>Net decrease / increase in cash and cash equivalents</t>
  </si>
  <si>
    <t>Reclassification of assets previously held for sale</t>
  </si>
  <si>
    <t>Net decrease / increase in cash and cash equivalents before reclassification of assets previously held for sale</t>
  </si>
  <si>
    <t>Effect of exchange rate changes on cash and cash equivalents</t>
  </si>
  <si>
    <t>Proceeds from sale of subsidiary shares</t>
  </si>
  <si>
    <t>Repayments of debt</t>
  </si>
  <si>
    <t>Issuance of short-term debt, maturities longer than 3 months</t>
  </si>
  <si>
    <t>Issuance of short-term debt, maturities of 3 months or less, net</t>
  </si>
  <si>
    <t>Proceeds from issuance of debt, net of costs</t>
  </si>
  <si>
    <t>Dividend payments</t>
  </si>
  <si>
    <t>Repurchases of capital stock</t>
  </si>
  <si>
    <t>Payments of principal on capital leases and equipment loans</t>
  </si>
  <si>
    <t>Payment of note receivable from officer / stockholder</t>
  </si>
  <si>
    <t>Net proceeds from a public offering</t>
  </si>
  <si>
    <t>Excess tax benefits from stock-based award activities</t>
  </si>
  <si>
    <t>Proceeds from exercise of warrants</t>
  </si>
  <si>
    <t>Net payments / proceeds related to stock-based award activities</t>
  </si>
  <si>
    <t>Net cash provided by / used in financing activities</t>
  </si>
  <si>
    <t>Proceeds from collection of notes receivable</t>
  </si>
  <si>
    <t>Acquisitions, net of cash acquired, and purchases of intangibles and other assets excluding proceeds from divestiture of business</t>
  </si>
  <si>
    <t>Proceeds from divestiture of business</t>
  </si>
  <si>
    <t>Acquisitions, net of cash acquired, and purchases of intangible assets</t>
  </si>
  <si>
    <t>Investments in reverse repurchase agreements</t>
  </si>
  <si>
    <t>Cash collateral received / returned related to securities lending</t>
  </si>
  <si>
    <t>Maturities and sales of non-marketable investments</t>
  </si>
  <si>
    <t>Purchases of non-marketable investments excluding maturities and sales of non-marketable investments</t>
  </si>
  <si>
    <t>Purchases of non-marketable investments</t>
  </si>
  <si>
    <t>Maturities and sales of marketable securities</t>
  </si>
  <si>
    <t>Purchases of marketable securities</t>
  </si>
  <si>
    <t>Proceeds from disposals of property and equipment</t>
  </si>
  <si>
    <t>Purchases of property and equipment excluding proceeds from disposals of property and equipment</t>
  </si>
  <si>
    <t>Purchases of property and equipment</t>
  </si>
  <si>
    <t>Net cash used in / provided by investing activities</t>
  </si>
  <si>
    <t>Deferred revenue</t>
  </si>
  <si>
    <t>Accrued revenue share</t>
  </si>
  <si>
    <t>Accrued expenses and other liabilities</t>
  </si>
  <si>
    <t>Accounts payable</t>
  </si>
  <si>
    <t>Prepaid revenue share, expenses and other assets excluding inventories</t>
  </si>
  <si>
    <t>Inventories</t>
  </si>
  <si>
    <t>Prepaid revenue share, expenses and other assets</t>
  </si>
  <si>
    <t>Income taxes, net</t>
  </si>
  <si>
    <t>Accounts receivable</t>
  </si>
  <si>
    <t>Changes in assets and liabilities, net of effects of acquisitions</t>
  </si>
  <si>
    <t>Other excluding in-process research and development and gain on sale of marketable equity securities</t>
  </si>
  <si>
    <t>Gain on sale of marketable equity securities</t>
  </si>
  <si>
    <t>In-process research and development</t>
  </si>
  <si>
    <t>Other</t>
  </si>
  <si>
    <t>Gain on equity interest</t>
  </si>
  <si>
    <t>Gain / loss on divestiture of business</t>
  </si>
  <si>
    <t>Gain / loss on debt and equity securities, net</t>
  </si>
  <si>
    <t>Deferred income taxes</t>
  </si>
  <si>
    <t>Stock-based compensation expense</t>
  </si>
  <si>
    <t>Amortization and impairment of intangible assets</t>
  </si>
  <si>
    <t>Depreciation and impairment of property and equipment</t>
  </si>
  <si>
    <t>Adjustments</t>
  </si>
  <si>
    <t>Net income</t>
  </si>
  <si>
    <t>Net cash provided by operating activities</t>
  </si>
  <si>
    <t>GOOGL-US</t>
  </si>
  <si>
    <t>Income Statement (M)</t>
  </si>
  <si>
    <t>CY '19</t>
  </si>
  <si>
    <t>CY '20</t>
  </si>
  <si>
    <t>CY '21</t>
  </si>
  <si>
    <t>CY '22</t>
  </si>
  <si>
    <t>CY '23</t>
  </si>
  <si>
    <t>CY '24</t>
  </si>
  <si>
    <t>CY '25E</t>
  </si>
  <si>
    <t>CY '26E</t>
  </si>
  <si>
    <t>CY '27E</t>
  </si>
  <si>
    <t>CY '28E</t>
  </si>
  <si>
    <t>CY '29E</t>
  </si>
  <si>
    <t>CY '30E</t>
  </si>
  <si>
    <t>Dec '19</t>
  </si>
  <si>
    <t>Dec '20</t>
  </si>
  <si>
    <t>Dec '21</t>
  </si>
  <si>
    <t>Dec '22</t>
  </si>
  <si>
    <t>Dec '23</t>
  </si>
  <si>
    <t>Dec '24</t>
  </si>
  <si>
    <t>Dec '25E</t>
  </si>
  <si>
    <t>Dec '26E</t>
  </si>
  <si>
    <t>Dec '27E</t>
  </si>
  <si>
    <t>Dec '28E</t>
  </si>
  <si>
    <t>Dec '29E</t>
  </si>
  <si>
    <t>Dec '30E</t>
  </si>
  <si>
    <t>Sales</t>
  </si>
  <si>
    <t>Cost of Sales</t>
  </si>
  <si>
    <t>Gross Income</t>
  </si>
  <si>
    <t>EBITDA</t>
  </si>
  <si>
    <t>Operating Income</t>
  </si>
  <si>
    <t>Interest Income</t>
  </si>
  <si>
    <t>Pretax Income</t>
  </si>
  <si>
    <t>Tax Expense</t>
  </si>
  <si>
    <t>Net Income</t>
  </si>
  <si>
    <t>Cash Flow (M)</t>
  </si>
  <si>
    <t>Capital Expenditures</t>
  </si>
  <si>
    <t>Free Cash Flow</t>
  </si>
  <si>
    <t>Deferred Income Taxes (CF)</t>
  </si>
  <si>
    <t>Cash Flow from Operations</t>
  </si>
  <si>
    <t>Cash Flow from Investing</t>
  </si>
  <si>
    <t>Cash Flow from Financing</t>
  </si>
  <si>
    <t>GOOGL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</si>
  <si>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</si>
  <si>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</si>
  <si>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</si>
  <si>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</si>
  <si>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</si>
  <si>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</si>
  <si>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</si>
  <si>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</si>
  <si>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</si>
  <si>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</si>
  <si>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</si>
  <si>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Tax Rate</t>
  </si>
  <si>
    <t>Total</t>
  </si>
  <si>
    <t>Enterprise Value</t>
  </si>
  <si>
    <t>Equity Value</t>
  </si>
  <si>
    <t>Share Count</t>
  </si>
  <si>
    <t>Implied price per share</t>
  </si>
  <si>
    <t>Diluted Share Count Calculation</t>
  </si>
  <si>
    <t>Full Diluted Shares</t>
  </si>
  <si>
    <t>Current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</si>
  <si>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</si>
  <si>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</si>
  <si>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</si>
  <si>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</si>
  <si>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</si>
  <si>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>RSUs</t>
  </si>
  <si>
    <t>PSUs</t>
  </si>
  <si>
    <t>Net diluted shares outstanding</t>
  </si>
  <si>
    <t>Options outstanding</t>
  </si>
  <si>
    <t>Outstanding</t>
  </si>
  <si>
    <t>Exercise price</t>
  </si>
  <si>
    <t>Dilutive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</si>
</sst>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\A"/>
    <numFmt numFmtId="165" formatCode="0\E"/>
    <numFmt numFmtId="166" formatCode="0&quot;E&quot;"/>
    <numFmt numFmtId="167" formatCode="#,##0.0"/>
    <numFmt numFmtId="168" formatCode="0.0%"/>
    <numFmt numFmtId="169" formatCode="#,##0.000_);\(#,##0.000\);@_)"/>
    <numFmt numFmtId="170" formatCode="#,##0.000_);\(#,##0.000\)"/>
    <numFmt numFmtId="171" formatCode="#,##0.0_);\(#,##0.0\)"/>
    <numFmt numFmtId="172" formatCode="#,##0.0_);\(#,##0.0\);@_)"/>
    <numFmt numFmtId="173" formatCode="&quot;Tranche&quot;\ 0"/>
    <numFmt numFmtId="174" formatCode="0.0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646464"/>
      <name val="Arial"/>
      <family val="2"/>
    </font>
    <font>
      <u/>
      <sz val="10"/>
      <color rgb="FF0000FF"/>
      <name val="Arial"/>
      <family val="2"/>
    </font>
    <font>
      <b/>
      <sz val="10"/>
      <color rgb="FF003366"/>
      <name val="Arial"/>
      <family val="2"/>
    </font>
    <font>
      <b/>
      <u/>
      <sz val="10"/>
      <color rgb="FF003366"/>
      <name val="Arial"/>
      <family val="2"/>
    </font>
    <font>
      <u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9"/>
      <name val="Aptos Narrow"/>
      <family val="2"/>
      <scheme val="minor"/>
    </font>
    <font>
      <sz val="11"/>
      <color rgb="FF7030A0"/>
      <name val="Aptos Narrow"/>
      <family val="2"/>
      <scheme val="minor"/>
    </font>
    <font>
      <i/>
      <sz val="11"/>
      <color theme="8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33CC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indexed="12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8" fillId="0" borderId="0"/>
    <xf numFmtId="0" fontId="10" fillId="0" borderId="0"/>
  </cellStyleXfs>
  <cellXfs count="134">
    <xf numFmtId="0" fontId="0" fillId="0" borderId="0" xfId="0"/>
    <xf numFmtId="0" fontId="0" fillId="3" borderId="0" xfId="0" applyFill="1"/>
    <xf numFmtId="0" fontId="2" fillId="3" borderId="0" xfId="0" applyFont="1" applyFill="1"/>
    <xf numFmtId="0" fontId="5" fillId="3" borderId="0" xfId="0" applyFont="1" applyFill="1"/>
    <xf numFmtId="0" fontId="0" fillId="2" borderId="1" xfId="1" applyFont="1"/>
    <xf numFmtId="0" fontId="4" fillId="4" borderId="0" xfId="0" applyFont="1" applyFill="1"/>
    <xf numFmtId="0" fontId="2" fillId="4" borderId="0" xfId="0" applyFont="1" applyFill="1"/>
    <xf numFmtId="0" fontId="6" fillId="0" borderId="0" xfId="0" applyFont="1"/>
    <xf numFmtId="164" fontId="2" fillId="3" borderId="0" xfId="0" applyNumberFormat="1" applyFont="1" applyFill="1"/>
    <xf numFmtId="165" fontId="2" fillId="3" borderId="0" xfId="0" applyNumberFormat="1" applyFont="1" applyFill="1"/>
    <xf numFmtId="0" fontId="0" fillId="0" borderId="0" xfId="0" quotePrefix="1" applyAlignment="1">
      <alignment horizontal="center"/>
    </xf>
    <xf numFmtId="0" fontId="7" fillId="0" borderId="0" xfId="0" applyFont="1" applyAlignment="1">
      <alignment horizontal="left" indent="1"/>
    </xf>
    <xf numFmtId="0" fontId="7" fillId="0" borderId="0" xfId="0" applyFont="1"/>
    <xf numFmtId="166" fontId="2" fillId="3" borderId="0" xfId="0" applyNumberFormat="1" applyFont="1" applyFill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0" xfId="2"/>
    <xf numFmtId="0" fontId="9" fillId="0" borderId="0" xfId="2" applyFont="1" applyAlignment="1">
      <alignment horizontal="left"/>
    </xf>
    <xf numFmtId="167" fontId="10" fillId="5" borderId="0" xfId="3" applyNumberFormat="1" applyFill="1" applyAlignment="1">
      <alignment horizontal="right"/>
    </xf>
    <xf numFmtId="167" fontId="8" fillId="5" borderId="0" xfId="2" applyNumberFormat="1" applyFill="1" applyAlignment="1">
      <alignment horizontal="right"/>
    </xf>
    <xf numFmtId="0" fontId="8" fillId="5" borderId="0" xfId="2" applyFill="1" applyAlignment="1">
      <alignment horizontal="left"/>
    </xf>
    <xf numFmtId="0" fontId="8" fillId="5" borderId="0" xfId="2" applyFill="1" applyAlignment="1">
      <alignment horizontal="left" indent="4"/>
    </xf>
    <xf numFmtId="167" fontId="10" fillId="0" borderId="0" xfId="3" applyNumberFormat="1" applyAlignment="1">
      <alignment horizontal="right"/>
    </xf>
    <xf numFmtId="167" fontId="8" fillId="0" borderId="0" xfId="2" applyNumberFormat="1" applyAlignment="1">
      <alignment horizontal="right"/>
    </xf>
    <xf numFmtId="0" fontId="8" fillId="0" borderId="0" xfId="2" applyAlignment="1">
      <alignment horizontal="left"/>
    </xf>
    <xf numFmtId="0" fontId="8" fillId="0" borderId="0" xfId="2" applyAlignment="1">
      <alignment horizontal="left" indent="4"/>
    </xf>
    <xf numFmtId="0" fontId="11" fillId="5" borderId="0" xfId="2" applyFont="1" applyFill="1" applyAlignment="1">
      <alignment horizontal="left"/>
    </xf>
    <xf numFmtId="0" fontId="11" fillId="5" borderId="0" xfId="2" applyFont="1" applyFill="1" applyAlignment="1">
      <alignment horizontal="left" indent="3"/>
    </xf>
    <xf numFmtId="0" fontId="11" fillId="0" borderId="0" xfId="2" applyFont="1" applyAlignment="1">
      <alignment horizontal="left"/>
    </xf>
    <xf numFmtId="0" fontId="11" fillId="0" borderId="0" xfId="2" applyFont="1" applyAlignment="1">
      <alignment horizontal="left" indent="3"/>
    </xf>
    <xf numFmtId="4" fontId="8" fillId="5" borderId="0" xfId="2" applyNumberFormat="1" applyFill="1" applyAlignment="1">
      <alignment horizontal="right"/>
    </xf>
    <xf numFmtId="0" fontId="8" fillId="5" borderId="0" xfId="2" applyFill="1" applyAlignment="1">
      <alignment horizontal="left" indent="7"/>
    </xf>
    <xf numFmtId="4" fontId="8" fillId="0" borderId="0" xfId="2" applyNumberFormat="1" applyAlignment="1">
      <alignment horizontal="right"/>
    </xf>
    <xf numFmtId="0" fontId="8" fillId="0" borderId="0" xfId="2" applyAlignment="1">
      <alignment horizontal="left" indent="7"/>
    </xf>
    <xf numFmtId="4" fontId="12" fillId="5" borderId="0" xfId="3" applyNumberFormat="1" applyFont="1" applyFill="1" applyAlignment="1">
      <alignment horizontal="right"/>
    </xf>
    <xf numFmtId="4" fontId="11" fillId="5" borderId="0" xfId="2" applyNumberFormat="1" applyFont="1" applyFill="1" applyAlignment="1">
      <alignment horizontal="right"/>
    </xf>
    <xf numFmtId="0" fontId="11" fillId="5" borderId="0" xfId="2" applyFont="1" applyFill="1" applyAlignment="1">
      <alignment horizontal="left" indent="6"/>
    </xf>
    <xf numFmtId="4" fontId="12" fillId="0" borderId="0" xfId="3" applyNumberFormat="1" applyFont="1" applyAlignment="1">
      <alignment horizontal="right"/>
    </xf>
    <xf numFmtId="4" fontId="11" fillId="0" borderId="0" xfId="2" applyNumberFormat="1" applyFont="1" applyAlignment="1">
      <alignment horizontal="right"/>
    </xf>
    <xf numFmtId="0" fontId="11" fillId="0" borderId="0" xfId="2" applyFont="1" applyAlignment="1">
      <alignment horizontal="left" indent="6"/>
    </xf>
    <xf numFmtId="3" fontId="10" fillId="5" borderId="0" xfId="3" applyNumberFormat="1" applyFill="1" applyAlignment="1">
      <alignment horizontal="right"/>
    </xf>
    <xf numFmtId="3" fontId="10" fillId="0" borderId="0" xfId="3" applyNumberFormat="1" applyAlignment="1">
      <alignment horizontal="right"/>
    </xf>
    <xf numFmtId="3" fontId="13" fillId="0" borderId="0" xfId="3" applyNumberFormat="1" applyFont="1" applyAlignment="1">
      <alignment horizontal="right"/>
    </xf>
    <xf numFmtId="3" fontId="8" fillId="5" borderId="0" xfId="2" applyNumberFormat="1" applyFill="1" applyAlignment="1">
      <alignment horizontal="right"/>
    </xf>
    <xf numFmtId="0" fontId="8" fillId="5" borderId="0" xfId="2" applyFill="1" applyAlignment="1">
      <alignment horizontal="left" indent="1"/>
    </xf>
    <xf numFmtId="0" fontId="8" fillId="0" borderId="0" xfId="2" applyAlignment="1">
      <alignment horizontal="left" indent="1"/>
    </xf>
    <xf numFmtId="3" fontId="13" fillId="5" borderId="0" xfId="3" applyNumberFormat="1" applyFont="1" applyFill="1" applyAlignment="1">
      <alignment horizontal="right"/>
    </xf>
    <xf numFmtId="3" fontId="12" fillId="0" borderId="0" xfId="3" applyNumberFormat="1" applyFont="1" applyAlignment="1">
      <alignment horizontal="right"/>
    </xf>
    <xf numFmtId="3" fontId="12" fillId="5" borderId="0" xfId="3" applyNumberFormat="1" applyFont="1" applyFill="1" applyAlignment="1">
      <alignment horizontal="right"/>
    </xf>
    <xf numFmtId="0" fontId="14" fillId="6" borderId="0" xfId="2" applyFont="1" applyFill="1" applyAlignment="1">
      <alignment horizontal="left"/>
    </xf>
    <xf numFmtId="0" fontId="8" fillId="0" borderId="9" xfId="2" applyBorder="1"/>
    <xf numFmtId="0" fontId="8" fillId="0" borderId="10" xfId="2" applyBorder="1"/>
    <xf numFmtId="0" fontId="14" fillId="0" borderId="0" xfId="2" applyFont="1"/>
    <xf numFmtId="3" fontId="15" fillId="5" borderId="0" xfId="2" applyNumberFormat="1" applyFont="1" applyFill="1" applyAlignment="1">
      <alignment horizontal="right"/>
    </xf>
    <xf numFmtId="3" fontId="11" fillId="5" borderId="0" xfId="2" applyNumberFormat="1" applyFont="1" applyFill="1" applyAlignment="1">
      <alignment horizontal="right"/>
    </xf>
    <xf numFmtId="3" fontId="11" fillId="0" borderId="0" xfId="2" applyNumberFormat="1" applyFont="1" applyAlignment="1">
      <alignment horizontal="right"/>
    </xf>
    <xf numFmtId="0" fontId="8" fillId="5" borderId="0" xfId="2" applyFill="1" applyAlignment="1">
      <alignment horizontal="left" indent="10"/>
    </xf>
    <xf numFmtId="0" fontId="8" fillId="0" borderId="0" xfId="2" applyAlignment="1">
      <alignment horizontal="left" indent="10"/>
    </xf>
    <xf numFmtId="0" fontId="11" fillId="5" borderId="0" xfId="2" applyFont="1" applyFill="1" applyAlignment="1">
      <alignment horizontal="left" indent="9"/>
    </xf>
    <xf numFmtId="0" fontId="11" fillId="6" borderId="0" xfId="2" applyFont="1" applyFill="1" applyAlignment="1">
      <alignment horizontal="left"/>
    </xf>
    <xf numFmtId="3" fontId="8" fillId="0" borderId="0" xfId="2" applyNumberFormat="1" applyAlignment="1">
      <alignment horizontal="right"/>
    </xf>
    <xf numFmtId="3" fontId="15" fillId="0" borderId="0" xfId="2" applyNumberFormat="1" applyFont="1" applyAlignment="1">
      <alignment horizontal="right"/>
    </xf>
    <xf numFmtId="0" fontId="3" fillId="0" borderId="2" xfId="0" applyFont="1" applyBorder="1"/>
    <xf numFmtId="3" fontId="0" fillId="0" borderId="0" xfId="0" applyNumberFormat="1"/>
    <xf numFmtId="10" fontId="0" fillId="2" borderId="1" xfId="1" applyNumberFormat="1" applyFont="1"/>
    <xf numFmtId="10" fontId="0" fillId="0" borderId="0" xfId="0" applyNumberFormat="1"/>
    <xf numFmtId="3" fontId="0" fillId="2" borderId="1" xfId="1" applyNumberFormat="1" applyFont="1"/>
    <xf numFmtId="3" fontId="0" fillId="0" borderId="4" xfId="0" applyNumberFormat="1" applyBorder="1"/>
    <xf numFmtId="14" fontId="0" fillId="2" borderId="1" xfId="1" applyNumberFormat="1" applyFont="1"/>
    <xf numFmtId="0" fontId="0" fillId="2" borderId="1" xfId="1" applyFont="1" applyAlignment="1">
      <alignment horizontal="right"/>
    </xf>
    <xf numFmtId="0" fontId="0" fillId="7" borderId="0" xfId="0" applyFill="1"/>
    <xf numFmtId="3" fontId="16" fillId="0" borderId="0" xfId="0" applyNumberFormat="1" applyFont="1"/>
    <xf numFmtId="9" fontId="0" fillId="0" borderId="0" xfId="0" applyNumberFormat="1"/>
    <xf numFmtId="3" fontId="17" fillId="0" borderId="0" xfId="0" applyNumberFormat="1" applyFont="1"/>
    <xf numFmtId="3" fontId="16" fillId="7" borderId="0" xfId="0" applyNumberFormat="1" applyFont="1" applyFill="1"/>
    <xf numFmtId="10" fontId="0" fillId="7" borderId="0" xfId="0" applyNumberFormat="1" applyFill="1"/>
    <xf numFmtId="9" fontId="7" fillId="2" borderId="1" xfId="1" applyNumberFormat="1" applyFont="1"/>
    <xf numFmtId="9" fontId="1" fillId="2" borderId="1" xfId="1" applyNumberFormat="1" applyFont="1"/>
    <xf numFmtId="168" fontId="0" fillId="2" borderId="1" xfId="1" applyNumberFormat="1" applyFont="1"/>
    <xf numFmtId="9" fontId="18" fillId="2" borderId="1" xfId="1" applyNumberFormat="1" applyFont="1"/>
    <xf numFmtId="9" fontId="19" fillId="2" borderId="1" xfId="1" applyNumberFormat="1" applyFont="1"/>
    <xf numFmtId="9" fontId="20" fillId="2" borderId="1" xfId="1" applyNumberFormat="1" applyFont="1"/>
    <xf numFmtId="0" fontId="0" fillId="0" borderId="0" xfId="0" applyAlignment="1">
      <alignment horizontal="left"/>
    </xf>
    <xf numFmtId="9" fontId="0" fillId="7" borderId="0" xfId="0" applyNumberFormat="1" applyFill="1"/>
    <xf numFmtId="9" fontId="0" fillId="2" borderId="1" xfId="1" applyNumberFormat="1" applyFont="1"/>
    <xf numFmtId="3" fontId="21" fillId="0" borderId="0" xfId="0" applyNumberFormat="1" applyFont="1"/>
    <xf numFmtId="9" fontId="21" fillId="0" borderId="0" xfId="0" applyNumberFormat="1" applyFont="1"/>
    <xf numFmtId="3" fontId="22" fillId="0" borderId="0" xfId="0" applyNumberFormat="1" applyFont="1"/>
    <xf numFmtId="9" fontId="17" fillId="0" borderId="0" xfId="0" applyNumberFormat="1" applyFont="1"/>
    <xf numFmtId="3" fontId="0" fillId="0" borderId="3" xfId="0" applyNumberFormat="1" applyBorder="1"/>
    <xf numFmtId="3" fontId="23" fillId="0" borderId="0" xfId="0" applyNumberFormat="1" applyFont="1"/>
    <xf numFmtId="3" fontId="0" fillId="0" borderId="6" xfId="0" applyNumberFormat="1" applyBorder="1"/>
    <xf numFmtId="10" fontId="0" fillId="0" borderId="4" xfId="0" applyNumberFormat="1" applyBorder="1"/>
    <xf numFmtId="2" fontId="0" fillId="0" borderId="0" xfId="0" applyNumberFormat="1"/>
    <xf numFmtId="3" fontId="0" fillId="0" borderId="8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7" fontId="24" fillId="0" borderId="0" xfId="0" applyNumberFormat="1" applyFont="1"/>
    <xf numFmtId="0" fontId="0" fillId="0" borderId="8" xfId="0" applyBorder="1" applyAlignment="1">
      <alignment horizontal="center"/>
    </xf>
    <xf numFmtId="0" fontId="25" fillId="0" borderId="8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39" fontId="26" fillId="8" borderId="13" xfId="0" applyNumberFormat="1" applyFont="1" applyFill="1" applyBorder="1" applyAlignment="1">
      <alignment horizontal="right"/>
    </xf>
    <xf numFmtId="39" fontId="0" fillId="0" borderId="0" xfId="0" applyNumberFormat="1"/>
    <xf numFmtId="0" fontId="27" fillId="0" borderId="0" xfId="0" applyFont="1" applyAlignment="1">
      <alignment horizontal="left"/>
    </xf>
    <xf numFmtId="37" fontId="28" fillId="8" borderId="13" xfId="0" applyNumberFormat="1" applyFont="1" applyFill="1" applyBorder="1" applyAlignment="1">
      <alignment horizontal="right"/>
    </xf>
    <xf numFmtId="169" fontId="17" fillId="0" borderId="0" xfId="0" applyNumberFormat="1" applyFont="1"/>
    <xf numFmtId="169" fontId="0" fillId="0" borderId="0" xfId="0" applyNumberFormat="1"/>
    <xf numFmtId="170" fontId="28" fillId="8" borderId="13" xfId="0" applyNumberFormat="1" applyFont="1" applyFill="1" applyBorder="1" applyAlignment="1">
      <alignment horizontal="right"/>
    </xf>
    <xf numFmtId="169" fontId="29" fillId="0" borderId="0" xfId="0" applyNumberFormat="1" applyFont="1"/>
    <xf numFmtId="0" fontId="3" fillId="0" borderId="0" xfId="0" applyFont="1" applyAlignment="1">
      <alignment horizontal="left"/>
    </xf>
    <xf numFmtId="171" fontId="0" fillId="0" borderId="0" xfId="0" applyNumberFormat="1"/>
    <xf numFmtId="169" fontId="3" fillId="0" borderId="0" xfId="0" applyNumberFormat="1" applyFont="1"/>
    <xf numFmtId="172" fontId="0" fillId="0" borderId="0" xfId="0" applyNumberFormat="1"/>
    <xf numFmtId="0" fontId="6" fillId="0" borderId="0" xfId="0" applyFont="1" applyAlignment="1">
      <alignment horizontal="right"/>
    </xf>
    <xf numFmtId="173" fontId="0" fillId="0" borderId="0" xfId="0" applyNumberFormat="1" applyAlignment="1">
      <alignment horizontal="left"/>
    </xf>
    <xf numFmtId="39" fontId="28" fillId="8" borderId="13" xfId="0" applyNumberFormat="1" applyFont="1" applyFill="1" applyBorder="1" applyAlignment="1">
      <alignment horizontal="right"/>
    </xf>
    <xf numFmtId="174" fontId="0" fillId="0" borderId="0" xfId="0" applyNumberFormat="1" applyAlignment="1">
      <alignment horizontal="right" indent="1"/>
    </xf>
    <xf numFmtId="173" fontId="0" fillId="0" borderId="8" xfId="0" applyNumberFormat="1" applyBorder="1" applyAlignment="1">
      <alignment horizontal="left"/>
    </xf>
    <xf numFmtId="171" fontId="28" fillId="0" borderId="8" xfId="0" applyNumberFormat="1" applyFont="1" applyBorder="1" applyAlignment="1">
      <alignment horizontal="right"/>
    </xf>
    <xf numFmtId="0" fontId="0" fillId="0" borderId="8" xfId="0" applyBorder="1" applyAlignment="1">
      <alignment horizontal="right" indent="1"/>
    </xf>
    <xf numFmtId="0" fontId="3" fillId="9" borderId="2" xfId="0" applyFont="1" applyFill="1" applyBorder="1"/>
    <xf numFmtId="0" fontId="3" fillId="9" borderId="3" xfId="0" applyFont="1" applyFill="1" applyBorder="1"/>
    <xf numFmtId="174" fontId="3" fillId="9" borderId="4" xfId="0" applyNumberFormat="1" applyFont="1" applyFill="1" applyBorder="1" applyAlignment="1">
      <alignment horizontal="right" indent="1"/>
    </xf>
    <xf numFmtId="37" fontId="0" fillId="0" borderId="0" xfId="0" applyNumberFormat="1"/>
    <xf numFmtId="3" fontId="30" fillId="0" borderId="0" xfId="0" applyNumberFormat="1" applyFont="1"/>
  </cellXfs>
  <cellStyles count="4">
    <cellStyle name="Hyperlink" xfId="3" builtinId="8"/>
    <cellStyle name="Normal" xfId="0" builtinId="0"/>
    <cellStyle name="Normal 2" xfId="2" xr:uid="{BF5F515A-A5FF-487C-BE41-B3AD25552417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Financial%20Database/Universe%20of%20Companies%20-%202025.03.05%20-%20UNH.xlsx" TargetMode="External"/><Relationship Id="rId1" Type="http://schemas.openxmlformats.org/officeDocument/2006/relationships/externalLinkPath" Target="https://d.docs.live.net/4fc5d5c8c4852779/Desktop/Financial%20Database/Universe%20of%20Companies%20-%202025.03.05%20-%20UN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Models/Palantir/2024.12.04%20-%20Palantir%20DCF.xlsx" TargetMode="External"/><Relationship Id="rId1" Type="http://schemas.openxmlformats.org/officeDocument/2006/relationships/externalLinkPath" Target="https://d.docs.live.net/4fc5d5c8c4852779/Desktop/Models/Palantir/2024.12.04%20-%20Palantir%20DC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Models/Chipotle/2024.07.27%20-%20Chipotle%20DCF.xlsx" TargetMode="External"/><Relationship Id="rId1" Type="http://schemas.openxmlformats.org/officeDocument/2006/relationships/externalLinkPath" Target="https://d.docs.live.net/4fc5d5c8c4852779/Desktop/Models/Palantir/Models/Chipotle/2024.07.27%20-%20Chipotle%20DCF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2026.01.23-Alphabet-DCF.xlsx" TargetMode="External"/><Relationship Id="rId2" Type="http://schemas.openxmlformats.org/officeDocument/2006/relationships/externalLinkPath" Target="file:///C:\Users\brend\Downloads\2026.01.23-Alphabet-DCF.xlsx" TargetMode="External"/><Relationship Id="rId1" Type="http://schemas.openxmlformats.org/officeDocument/2006/relationships/externalLinkPath" Target="/Users/brend/Downloads/2026.01.23-Alphabet-D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FDSCACHE__"/>
      <sheetName val="Database"/>
      <sheetName val="Comps"/>
      <sheetName val="XLinkMeta"/>
    </sheetNames>
    <sheetDataSet>
      <sheetData sheetId="0"/>
      <sheetData sheetId="1">
        <row r="11">
          <cell r="B11" t="str">
            <v>NVDA</v>
          </cell>
          <cell r="C11" t="str">
            <v>NVIDIA Corporation</v>
          </cell>
          <cell r="D11" t="str">
            <v>Semiconductors</v>
          </cell>
          <cell r="E11">
            <v>24300</v>
          </cell>
          <cell r="F11">
            <v>24483</v>
          </cell>
          <cell r="G11">
            <v>4483206.9933000002</v>
          </cell>
          <cell r="H11">
            <v>4431955.5</v>
          </cell>
          <cell r="I11">
            <v>60608</v>
          </cell>
          <cell r="J11">
            <v>10822</v>
          </cell>
          <cell r="K11">
            <v>-49786</v>
          </cell>
          <cell r="L11">
            <v>4433420.9933000002</v>
          </cell>
          <cell r="M11">
            <v>4427048.0684000002</v>
          </cell>
          <cell r="O11">
            <v>183.11510000000001</v>
          </cell>
          <cell r="P11">
            <v>94.31</v>
          </cell>
          <cell r="Q11">
            <v>207.04</v>
          </cell>
          <cell r="R11">
            <v>0.88444310278207117</v>
          </cell>
          <cell r="S11">
            <v>199.05</v>
          </cell>
          <cell r="T11">
            <v>177.17</v>
          </cell>
          <cell r="U11">
            <v>141.97</v>
          </cell>
          <cell r="V11">
            <v>-8.0054760110525036E-2</v>
          </cell>
          <cell r="W11">
            <v>3.3555906756222997E-2</v>
          </cell>
          <cell r="X11">
            <v>0.28981545396914843</v>
          </cell>
          <cell r="Z11">
            <v>124754.333334</v>
          </cell>
          <cell r="AA11">
            <v>206053.02</v>
          </cell>
          <cell r="AB11">
            <v>315103.96999999997</v>
          </cell>
          <cell r="AC11">
            <v>308690.46999999997</v>
          </cell>
          <cell r="AD11">
            <v>147477.14000000001</v>
          </cell>
          <cell r="AE11">
            <v>233972.3</v>
          </cell>
          <cell r="AF11">
            <v>129834.38</v>
          </cell>
          <cell r="AG11">
            <v>208813.8</v>
          </cell>
          <cell r="AH11">
            <v>79792.666670000006</v>
          </cell>
          <cell r="AI11">
            <v>130845.25</v>
          </cell>
          <cell r="AJ11">
            <v>211991.45</v>
          </cell>
          <cell r="AK11">
            <v>207138.23</v>
          </cell>
          <cell r="AL11">
            <v>5503.3459999999995</v>
          </cell>
          <cell r="AM11">
            <v>5439.8804</v>
          </cell>
          <cell r="AN11">
            <v>125341.90399999999</v>
          </cell>
          <cell r="AO11">
            <v>206551.56960000002</v>
          </cell>
          <cell r="AP11">
            <v>110860.31</v>
          </cell>
          <cell r="AQ11">
            <v>177142.69</v>
          </cell>
          <cell r="AR11">
            <v>173189.98</v>
          </cell>
          <cell r="AS11">
            <v>0.65167024257459771</v>
          </cell>
          <cell r="AT11">
            <v>0.52923732930485556</v>
          </cell>
          <cell r="AU11">
            <v>0.71572423447130273</v>
          </cell>
          <cell r="AV11">
            <v>0.74252412624315722</v>
          </cell>
          <cell r="AW11">
            <v>0.63010180583618725</v>
          </cell>
          <cell r="AX11">
            <v>0.66268222517158382</v>
          </cell>
          <cell r="AY11">
            <v>0.63959835732819126</v>
          </cell>
          <cell r="AZ11">
            <v>0.63500767909152711</v>
          </cell>
          <cell r="BA11">
            <v>0.67276667444082039</v>
          </cell>
          <cell r="BB11">
            <v>0.60829928141795742</v>
          </cell>
          <cell r="BC11">
            <v>0.65550291099156899</v>
          </cell>
          <cell r="BD11">
            <v>0.53801837022335319</v>
          </cell>
          <cell r="BE11">
            <v>0.56217219351441372</v>
          </cell>
          <cell r="BF11">
            <v>2.8281399486073357E-2</v>
          </cell>
          <cell r="BG11">
            <v>4.6605063972325542E-2</v>
          </cell>
          <cell r="BI11">
            <v>14.341382383460042</v>
          </cell>
          <cell r="BJ11">
            <v>21.484994825118314</v>
          </cell>
          <cell r="BK11">
            <v>14.049483630434743</v>
          </cell>
          <cell r="BL11">
            <v>30.018537574026727</v>
          </cell>
          <cell r="BM11">
            <v>18.921248662341654</v>
          </cell>
          <cell r="BN11">
            <v>34.097656324927186</v>
          </cell>
          <cell r="BO11">
            <v>21.200936281031236</v>
          </cell>
          <cell r="BP11">
            <v>21.37243360822384</v>
          </cell>
          <cell r="BQ11">
            <v>33.83422836060155</v>
          </cell>
          <cell r="BR11">
            <v>20.883144430589063</v>
          </cell>
          <cell r="BS11">
            <v>35.319776763563446</v>
          </cell>
          <cell r="BT11">
            <v>21.433136901226433</v>
          </cell>
          <cell r="BU11">
            <v>25.590138066878925</v>
          </cell>
          <cell r="BV11">
            <v>39.977837875430801</v>
          </cell>
          <cell r="BW11">
            <v>25.019127235789409</v>
          </cell>
          <cell r="BY11">
            <v>16.143689047619102</v>
          </cell>
          <cell r="BZ11">
            <v>17.553490573558701</v>
          </cell>
          <cell r="CA11">
            <v>17.349827195704101</v>
          </cell>
          <cell r="CB11">
            <v>24.821203472222201</v>
          </cell>
          <cell r="CC11">
            <v>27.136773944333999</v>
          </cell>
          <cell r="CD11">
            <v>31.875613451073999</v>
          </cell>
          <cell r="CE11">
            <v>29.4423514206349</v>
          </cell>
          <cell r="CF11">
            <v>31.767069238568599</v>
          </cell>
          <cell r="CG11">
            <v>38.393440772474101</v>
          </cell>
          <cell r="CI11">
            <v>-0.11164156215117804</v>
          </cell>
          <cell r="CJ11">
            <v>-0.18298971231039052</v>
          </cell>
          <cell r="CK11">
            <v>-0.17339912255661916</v>
          </cell>
          <cell r="CL11">
            <v>-0.13894450637165656</v>
          </cell>
          <cell r="CM11">
            <v>-0.21241804010803278</v>
          </cell>
          <cell r="CN11">
            <v>-0.32950518298170262</v>
          </cell>
          <cell r="CO11">
            <v>-0.13083918803632377</v>
          </cell>
          <cell r="CP11">
            <v>-0.19444447724470038</v>
          </cell>
          <cell r="CQ11">
            <v>-0.3334763034516669</v>
          </cell>
        </row>
        <row r="12">
          <cell r="B12" t="str">
            <v>AMD</v>
          </cell>
          <cell r="C12" t="str">
            <v>Advanced Micro Devices, Inc.</v>
          </cell>
          <cell r="D12" t="str">
            <v>Semiconductors</v>
          </cell>
          <cell r="E12">
            <v>1628.0415</v>
          </cell>
          <cell r="F12">
            <v>1641</v>
          </cell>
          <cell r="G12">
            <v>361020</v>
          </cell>
          <cell r="H12">
            <v>358168.8</v>
          </cell>
          <cell r="I12">
            <v>7243</v>
          </cell>
          <cell r="J12">
            <v>3870</v>
          </cell>
          <cell r="K12">
            <v>-3373</v>
          </cell>
          <cell r="L12">
            <v>357647</v>
          </cell>
          <cell r="M12">
            <v>357318.8</v>
          </cell>
          <cell r="O12">
            <v>220</v>
          </cell>
          <cell r="P12">
            <v>78.209999999999994</v>
          </cell>
          <cell r="Q12">
            <v>264.33</v>
          </cell>
          <cell r="R12">
            <v>0.8322929671244278</v>
          </cell>
          <cell r="S12">
            <v>243.98</v>
          </cell>
          <cell r="T12">
            <v>155.66999999999999</v>
          </cell>
          <cell r="U12">
            <v>116.16</v>
          </cell>
          <cell r="V12">
            <v>-9.8286744815148763E-2</v>
          </cell>
          <cell r="W12">
            <v>0.41324596903706579</v>
          </cell>
          <cell r="X12">
            <v>0.89393939393939403</v>
          </cell>
          <cell r="Z12">
            <v>25785</v>
          </cell>
          <cell r="AA12">
            <v>34008.57</v>
          </cell>
          <cell r="AB12">
            <v>44728.555</v>
          </cell>
          <cell r="AC12">
            <v>44111.79</v>
          </cell>
          <cell r="AD12">
            <v>17749.976999999999</v>
          </cell>
          <cell r="AE12">
            <v>24709.05</v>
          </cell>
          <cell r="AF12">
            <v>7384.232</v>
          </cell>
          <cell r="AG12">
            <v>12118.371999999999</v>
          </cell>
          <cell r="AH12">
            <v>5185</v>
          </cell>
          <cell r="AI12">
            <v>6672.8325000000004</v>
          </cell>
          <cell r="AJ12">
            <v>10469.762000000001</v>
          </cell>
          <cell r="AK12">
            <v>10251.308999999999</v>
          </cell>
          <cell r="AL12">
            <v>953.92303000000004</v>
          </cell>
          <cell r="AM12">
            <v>973.83954000000006</v>
          </cell>
          <cell r="AN12">
            <v>5718.9094700000005</v>
          </cell>
          <cell r="AO12">
            <v>9495.9224599999998</v>
          </cell>
          <cell r="AP12">
            <v>6532.3076000000001</v>
          </cell>
          <cell r="AQ12">
            <v>10581.356</v>
          </cell>
          <cell r="AR12">
            <v>10348.397000000001</v>
          </cell>
          <cell r="AS12">
            <v>0.31892844677137866</v>
          </cell>
          <cell r="AT12">
            <v>0.31521422394414111</v>
          </cell>
          <cell r="AU12">
            <v>0.5219265908563635</v>
          </cell>
          <cell r="AV12">
            <v>0.55242227252814224</v>
          </cell>
          <cell r="AW12">
            <v>0.21712856494701188</v>
          </cell>
          <cell r="AX12">
            <v>0.27093144413004172</v>
          </cell>
          <cell r="AY12">
            <v>0.2010859026565833</v>
          </cell>
          <cell r="AZ12">
            <v>0.19621032286861814</v>
          </cell>
          <cell r="BA12">
            <v>0.23407333413744308</v>
          </cell>
          <cell r="BB12">
            <v>0.16816083328408105</v>
          </cell>
          <cell r="BC12">
            <v>0.21230112307451021</v>
          </cell>
          <cell r="BD12">
            <v>0.19207827909259342</v>
          </cell>
          <cell r="BE12">
            <v>0.23656825041631682</v>
          </cell>
          <cell r="BF12">
            <v>1.5967078846622042E-2</v>
          </cell>
          <cell r="BG12">
            <v>2.6512422243366814E-2</v>
          </cell>
          <cell r="BI12">
            <v>8.100301529364371</v>
          </cell>
          <cell r="BJ12">
            <v>10.506728157049826</v>
          </cell>
          <cell r="BK12">
            <v>7.9886059364090789</v>
          </cell>
          <cell r="BL12">
            <v>20.130662704520688</v>
          </cell>
          <cell r="BM12">
            <v>14.461049696366311</v>
          </cell>
          <cell r="BN12">
            <v>48.389433051399251</v>
          </cell>
          <cell r="BO12">
            <v>29.485709796662455</v>
          </cell>
          <cell r="BP12">
            <v>34.855919375759719</v>
          </cell>
          <cell r="BQ12">
            <v>53.548294521104786</v>
          </cell>
          <cell r="BR12">
            <v>34.12864590427175</v>
          </cell>
          <cell r="BS12">
            <v>62.480233665947495</v>
          </cell>
          <cell r="BT12">
            <v>37.628656036856476</v>
          </cell>
          <cell r="BU12">
            <v>34.611041690804861</v>
          </cell>
          <cell r="BV12">
            <v>54.830363469105464</v>
          </cell>
          <cell r="BW12">
            <v>33.849045434252474</v>
          </cell>
          <cell r="BY12">
            <v>6.52737472698412</v>
          </cell>
          <cell r="BZ12">
            <v>7.7182740944333998</v>
          </cell>
          <cell r="CA12">
            <v>6.9348538242641196</v>
          </cell>
          <cell r="CB12">
            <v>25.930398944444399</v>
          </cell>
          <cell r="CC12">
            <v>28.3702381729622</v>
          </cell>
          <cell r="CD12">
            <v>26.2312321909308</v>
          </cell>
          <cell r="CE12">
            <v>28.039306880952399</v>
          </cell>
          <cell r="CF12">
            <v>32.207210186878697</v>
          </cell>
          <cell r="CG12">
            <v>31.219099994829001</v>
          </cell>
          <cell r="CI12">
            <v>0.24097387819298666</v>
          </cell>
          <cell r="CJ12">
            <v>4.9496484610011215E-2</v>
          </cell>
          <cell r="CK12">
            <v>0.16805656393542234</v>
          </cell>
          <cell r="CL12">
            <v>0.34421068686363654</v>
          </cell>
          <cell r="CM12">
            <v>0.22860862722606945</v>
          </cell>
          <cell r="CN12">
            <v>0.32879458814789575</v>
          </cell>
          <cell r="CO12">
            <v>0.234375793872307</v>
          </cell>
          <cell r="CP12">
            <v>7.4636439790289222E-2</v>
          </cell>
          <cell r="CQ12">
            <v>0.10864956698103678</v>
          </cell>
        </row>
        <row r="13">
          <cell r="B13" t="str">
            <v>INTC</v>
          </cell>
          <cell r="C13" t="str">
            <v>Intel Corporation</v>
          </cell>
          <cell r="D13" t="str">
            <v>Semiconductors</v>
          </cell>
          <cell r="E13">
            <v>4770</v>
          </cell>
          <cell r="F13">
            <v>4531</v>
          </cell>
          <cell r="G13">
            <v>182621.95499999999</v>
          </cell>
          <cell r="H13">
            <v>192254.84</v>
          </cell>
          <cell r="I13">
            <v>30935</v>
          </cell>
          <cell r="J13">
            <v>46553</v>
          </cell>
          <cell r="K13">
            <v>15618</v>
          </cell>
          <cell r="L13">
            <v>198239.95499999999</v>
          </cell>
          <cell r="M13">
            <v>206577.66</v>
          </cell>
          <cell r="O13">
            <v>40.305</v>
          </cell>
          <cell r="P13">
            <v>18.13</v>
          </cell>
          <cell r="Q13">
            <v>43.76</v>
          </cell>
          <cell r="R13">
            <v>0.92104661791590492</v>
          </cell>
          <cell r="S13">
            <v>38.450000000000003</v>
          </cell>
          <cell r="T13">
            <v>24.61</v>
          </cell>
          <cell r="U13">
            <v>20.14</v>
          </cell>
          <cell r="V13">
            <v>4.8244473342002436E-2</v>
          </cell>
          <cell r="W13">
            <v>0.63774888256806173</v>
          </cell>
          <cell r="X13">
            <v>1.0012413108242302</v>
          </cell>
          <cell r="Z13">
            <v>53101</v>
          </cell>
          <cell r="AA13">
            <v>52541.445</v>
          </cell>
          <cell r="AB13">
            <v>53801.754000000001</v>
          </cell>
          <cell r="AC13">
            <v>53729.245999999999</v>
          </cell>
          <cell r="AD13">
            <v>18970.991999999998</v>
          </cell>
          <cell r="AE13">
            <v>20256.705000000002</v>
          </cell>
          <cell r="AF13">
            <v>2507.9639000000002</v>
          </cell>
          <cell r="AG13">
            <v>4506.7466000000004</v>
          </cell>
          <cell r="AH13">
            <v>6671</v>
          </cell>
          <cell r="AI13">
            <v>13229.835999999999</v>
          </cell>
          <cell r="AJ13">
            <v>16505.026999999998</v>
          </cell>
          <cell r="AK13">
            <v>16316.592000000001</v>
          </cell>
          <cell r="AL13">
            <v>17337.900000000001</v>
          </cell>
          <cell r="AM13">
            <v>16385.559000000001</v>
          </cell>
          <cell r="AN13">
            <v>-4108.0640000000021</v>
          </cell>
          <cell r="AO13">
            <v>119.46799999999712</v>
          </cell>
          <cell r="AP13">
            <v>1510.2529999999999</v>
          </cell>
          <cell r="AQ13">
            <v>2986.8782000000001</v>
          </cell>
          <cell r="AR13">
            <v>2901.9216000000001</v>
          </cell>
          <cell r="AS13">
            <v>-1.0537560497919096E-2</v>
          </cell>
          <cell r="AT13">
            <v>2.3986949730826712E-2</v>
          </cell>
          <cell r="AU13">
            <v>0.3610671918140051</v>
          </cell>
          <cell r="AV13">
            <v>0.37650640534879221</v>
          </cell>
          <cell r="AW13">
            <v>4.7733059111716478E-2</v>
          </cell>
          <cell r="AX13">
            <v>8.3765793211871872E-2</v>
          </cell>
          <cell r="AY13">
            <v>0.12562851923692586</v>
          </cell>
          <cell r="AZ13">
            <v>0.25179809957643912</v>
          </cell>
          <cell r="BA13">
            <v>0.30677488693026622</v>
          </cell>
          <cell r="BB13">
            <v>-7.8187114952776846E-2</v>
          </cell>
          <cell r="BC13">
            <v>2.220522401555851E-3</v>
          </cell>
          <cell r="BD13">
            <v>2.8744032449050459E-2</v>
          </cell>
          <cell r="BE13">
            <v>5.551637219857182E-2</v>
          </cell>
          <cell r="BF13">
            <v>-2.1367805356681799E-2</v>
          </cell>
          <cell r="BG13">
            <v>6.2140438180904639E-4</v>
          </cell>
          <cell r="BI13">
            <v>3.8447898561613911</v>
          </cell>
          <cell r="BJ13">
            <v>3.9317087681924243</v>
          </cell>
          <cell r="BK13">
            <v>3.8396082774550435</v>
          </cell>
          <cell r="BL13">
            <v>10.889133261982295</v>
          </cell>
          <cell r="BM13">
            <v>10.197989258371488</v>
          </cell>
          <cell r="BN13">
            <v>82.368673647973949</v>
          </cell>
          <cell r="BO13">
            <v>45.837425161645427</v>
          </cell>
          <cell r="BP13">
            <v>12.660588681754131</v>
          </cell>
          <cell r="BQ13">
            <v>15.614529159696312</v>
          </cell>
          <cell r="BR13">
            <v>12.516044960120333</v>
          </cell>
          <cell r="BS13" t="str">
            <v>--</v>
          </cell>
          <cell r="BT13" t="str">
            <v>--</v>
          </cell>
          <cell r="BU13">
            <v>66.250873214493453</v>
          </cell>
          <cell r="BV13" t="str">
            <v>--</v>
          </cell>
          <cell r="BW13">
            <v>64.366481365058675</v>
          </cell>
          <cell r="BY13">
            <v>2.6995418047619002</v>
          </cell>
          <cell r="BZ13">
            <v>2.8055115906560602</v>
          </cell>
          <cell r="CA13">
            <v>2.83628192856006</v>
          </cell>
          <cell r="CB13">
            <v>9.3991993694444407</v>
          </cell>
          <cell r="CC13">
            <v>9.6769147415507</v>
          </cell>
          <cell r="CD13">
            <v>8.7127034856006293</v>
          </cell>
          <cell r="CE13">
            <v>43.585360523809598</v>
          </cell>
          <cell r="CF13">
            <v>34.090006071570599</v>
          </cell>
          <cell r="CG13">
            <v>24.4767722549722</v>
          </cell>
          <cell r="CI13">
            <v>0.42423793896405382</v>
          </cell>
          <cell r="CJ13">
            <v>0.37044162247153611</v>
          </cell>
          <cell r="CK13">
            <v>0.35557393552669003</v>
          </cell>
          <cell r="CL13">
            <v>0.34698586380793639</v>
          </cell>
          <cell r="CM13">
            <v>0.30832905113777054</v>
          </cell>
          <cell r="CN13">
            <v>0.45311827754475065</v>
          </cell>
          <cell r="CO13">
            <v>0.52002581642756507</v>
          </cell>
          <cell r="CP13">
            <v>0.94341042578292322</v>
          </cell>
          <cell r="CQ13">
            <v>1.7066834027119437</v>
          </cell>
        </row>
        <row r="14">
          <cell r="B14" t="str">
            <v>QCOM</v>
          </cell>
          <cell r="C14" t="str">
            <v>QUALCOMM Incorporated</v>
          </cell>
          <cell r="D14" t="str">
            <v>Semiconductors</v>
          </cell>
          <cell r="E14">
            <v>1071</v>
          </cell>
          <cell r="F14">
            <v>1078</v>
          </cell>
          <cell r="G14">
            <v>193360.86000000002</v>
          </cell>
          <cell r="H14">
            <v>192105.27</v>
          </cell>
          <cell r="I14">
            <v>12478</v>
          </cell>
          <cell r="J14">
            <v>15643</v>
          </cell>
          <cell r="K14">
            <v>3165</v>
          </cell>
          <cell r="L14">
            <v>196525.86000000002</v>
          </cell>
          <cell r="M14">
            <v>201791.84400000001</v>
          </cell>
          <cell r="O14">
            <v>179.37</v>
          </cell>
          <cell r="P14">
            <v>124.66</v>
          </cell>
          <cell r="Q14">
            <v>187.68</v>
          </cell>
          <cell r="R14">
            <v>0.95572250639386191</v>
          </cell>
          <cell r="S14">
            <v>171.57</v>
          </cell>
          <cell r="T14">
            <v>161.51</v>
          </cell>
          <cell r="U14">
            <v>154.72</v>
          </cell>
          <cell r="V14">
            <v>4.5462493442909757E-2</v>
          </cell>
          <cell r="W14">
            <v>0.11058138814934071</v>
          </cell>
          <cell r="X14">
            <v>0.15932006204756988</v>
          </cell>
          <cell r="Z14">
            <v>40695</v>
          </cell>
          <cell r="AA14">
            <v>43920.207000000002</v>
          </cell>
          <cell r="AB14">
            <v>45763.605000000003</v>
          </cell>
          <cell r="AC14">
            <v>45719.343999999997</v>
          </cell>
          <cell r="AD14">
            <v>24528.129000000001</v>
          </cell>
          <cell r="AE14">
            <v>25526.384999999998</v>
          </cell>
          <cell r="AF14">
            <v>15205.522999999999</v>
          </cell>
          <cell r="AG14">
            <v>15279.625</v>
          </cell>
          <cell r="AH14">
            <v>12609</v>
          </cell>
          <cell r="AI14">
            <v>16845.136999999999</v>
          </cell>
          <cell r="AJ14">
            <v>16669.107</v>
          </cell>
          <cell r="AK14">
            <v>16674.96</v>
          </cell>
          <cell r="AL14">
            <v>1251.1597999999999</v>
          </cell>
          <cell r="AM14">
            <v>1567.0697</v>
          </cell>
          <cell r="AN14">
            <v>15593.977199999999</v>
          </cell>
          <cell r="AO14">
            <v>15102.0373</v>
          </cell>
          <cell r="AP14">
            <v>13177.722</v>
          </cell>
          <cell r="AQ14">
            <v>13241.736999999999</v>
          </cell>
          <cell r="AR14">
            <v>13201.55</v>
          </cell>
          <cell r="AS14">
            <v>7.9253151492812535E-2</v>
          </cell>
          <cell r="AT14">
            <v>4.1971523494868768E-2</v>
          </cell>
          <cell r="AU14">
            <v>0.55847025037928444</v>
          </cell>
          <cell r="AV14">
            <v>0.55778789717287347</v>
          </cell>
          <cell r="AW14">
            <v>0.34620790835525883</v>
          </cell>
          <cell r="AX14">
            <v>0.33388158559623959</v>
          </cell>
          <cell r="AY14">
            <v>0.30984150387025433</v>
          </cell>
          <cell r="AZ14">
            <v>0.38353956300797942</v>
          </cell>
          <cell r="BA14">
            <v>0.36424374784285457</v>
          </cell>
          <cell r="BB14">
            <v>0.35505245228010873</v>
          </cell>
          <cell r="BC14">
            <v>0.33000104122041957</v>
          </cell>
          <cell r="BD14">
            <v>0.3000377935377217</v>
          </cell>
          <cell r="BE14">
            <v>0.28935082802152495</v>
          </cell>
          <cell r="BF14">
            <v>8.1174124999277744E-2</v>
          </cell>
          <cell r="BG14">
            <v>7.8613342049387816E-2</v>
          </cell>
          <cell r="BI14">
            <v>4.4137082106864884</v>
          </cell>
          <cell r="BJ14">
            <v>4.5945103127587723</v>
          </cell>
          <cell r="BK14">
            <v>4.409439422440605</v>
          </cell>
          <cell r="BL14">
            <v>8.2269562427692708</v>
          </cell>
          <cell r="BM14">
            <v>7.9052260631499536</v>
          </cell>
          <cell r="BN14">
            <v>13.270957138402936</v>
          </cell>
          <cell r="BO14">
            <v>13.206596627862268</v>
          </cell>
          <cell r="BP14">
            <v>12.101488939103904</v>
          </cell>
          <cell r="BQ14">
            <v>11.979234363009338</v>
          </cell>
          <cell r="BR14">
            <v>12.105738117824789</v>
          </cell>
          <cell r="BS14">
            <v>12.940370593846964</v>
          </cell>
          <cell r="BT14">
            <v>13.361895484127828</v>
          </cell>
          <cell r="BU14">
            <v>14.55172082066121</v>
          </cell>
          <cell r="BV14">
            <v>14.578033289820501</v>
          </cell>
          <cell r="BW14">
            <v>14.507558185153504</v>
          </cell>
          <cell r="BY14">
            <v>4.0303067043650804</v>
          </cell>
          <cell r="BZ14">
            <v>4.39810519761431</v>
          </cell>
          <cell r="CA14">
            <v>4.2306028444709698</v>
          </cell>
          <cell r="CB14">
            <v>10.8910253234127</v>
          </cell>
          <cell r="CC14">
            <v>12.0286635119284</v>
          </cell>
          <cell r="CD14">
            <v>11.3193797469372</v>
          </cell>
          <cell r="CE14">
            <v>13.265681908730199</v>
          </cell>
          <cell r="CF14">
            <v>14.5695858190855</v>
          </cell>
          <cell r="CG14">
            <v>14.018815215990401</v>
          </cell>
          <cell r="CI14">
            <v>9.5129610336146309E-2</v>
          </cell>
          <cell r="CJ14">
            <v>3.5476670909651009E-3</v>
          </cell>
          <cell r="CK14">
            <v>4.3281152343293439E-2</v>
          </cell>
          <cell r="CL14">
            <v>0.11114321927881665</v>
          </cell>
          <cell r="CM14">
            <v>6.0543240820798427E-3</v>
          </cell>
          <cell r="CN14">
            <v>6.9094703919472922E-2</v>
          </cell>
          <cell r="CO14">
            <v>9.6944802444317801E-2</v>
          </cell>
          <cell r="CP14">
            <v>-1.2261843710675846E-3</v>
          </cell>
          <cell r="CQ14">
            <v>3.8013597901123353E-2</v>
          </cell>
        </row>
        <row r="15">
          <cell r="B15" t="str">
            <v>AVGO</v>
          </cell>
          <cell r="C15" t="str">
            <v>Broadcom Inc.</v>
          </cell>
          <cell r="D15" t="str">
            <v>Semiconductors</v>
          </cell>
          <cell r="E15">
            <v>4722.3649999999998</v>
          </cell>
          <cell r="F15">
            <v>4860</v>
          </cell>
          <cell r="G15">
            <v>1973545.8840000001</v>
          </cell>
          <cell r="H15">
            <v>1897967.8</v>
          </cell>
          <cell r="I15">
            <v>10718</v>
          </cell>
          <cell r="J15">
            <v>64229</v>
          </cell>
          <cell r="K15">
            <v>53511</v>
          </cell>
          <cell r="L15">
            <v>2027056.8840000001</v>
          </cell>
          <cell r="M15">
            <v>2008154.4</v>
          </cell>
          <cell r="O15">
            <v>406.07940000000002</v>
          </cell>
          <cell r="P15">
            <v>146.29</v>
          </cell>
          <cell r="Q15">
            <v>406.29</v>
          </cell>
          <cell r="R15">
            <v>0.99948165103743636</v>
          </cell>
          <cell r="S15">
            <v>358.39</v>
          </cell>
          <cell r="T15">
            <v>359.63</v>
          </cell>
          <cell r="U15">
            <v>248.7</v>
          </cell>
          <cell r="V15">
            <v>0.13306565473367016</v>
          </cell>
          <cell r="W15">
            <v>0.12915885771487368</v>
          </cell>
          <cell r="X15">
            <v>0.6328082026538</v>
          </cell>
          <cell r="Z15">
            <v>53544</v>
          </cell>
          <cell r="AA15">
            <v>67229.66</v>
          </cell>
          <cell r="AB15">
            <v>92591.16</v>
          </cell>
          <cell r="AC15">
            <v>90916.61</v>
          </cell>
          <cell r="AD15">
            <v>52392.563000000002</v>
          </cell>
          <cell r="AE15">
            <v>68941.83</v>
          </cell>
          <cell r="AF15">
            <v>44092.167999999998</v>
          </cell>
          <cell r="AG15">
            <v>60535.79</v>
          </cell>
          <cell r="AH15">
            <v>27580</v>
          </cell>
          <cell r="AI15">
            <v>44767.574000000001</v>
          </cell>
          <cell r="AJ15">
            <v>61019.133000000002</v>
          </cell>
          <cell r="AK15">
            <v>60098.656000000003</v>
          </cell>
          <cell r="AL15">
            <v>567.68780000000004</v>
          </cell>
          <cell r="AM15">
            <v>694.05359999999996</v>
          </cell>
          <cell r="AN15">
            <v>44199.886200000001</v>
          </cell>
          <cell r="AO15">
            <v>60325.079400000002</v>
          </cell>
          <cell r="AP15">
            <v>35485.792999999998</v>
          </cell>
          <cell r="AQ15">
            <v>49592.57</v>
          </cell>
          <cell r="AR15">
            <v>48655.31</v>
          </cell>
          <cell r="AS15">
            <v>0.25559651875093392</v>
          </cell>
          <cell r="AT15">
            <v>0.377236773174221</v>
          </cell>
          <cell r="AU15">
            <v>0.77930727301015656</v>
          </cell>
          <cell r="AV15">
            <v>0.74458328419257302</v>
          </cell>
          <cell r="AW15">
            <v>0.65584398314672421</v>
          </cell>
          <cell r="AX15">
            <v>0.65379664754173072</v>
          </cell>
          <cell r="AY15">
            <v>0.51509039294785597</v>
          </cell>
          <cell r="AZ15">
            <v>0.66589023356655375</v>
          </cell>
          <cell r="BA15">
            <v>0.6590168327084357</v>
          </cell>
          <cell r="BB15">
            <v>0.65744622537136133</v>
          </cell>
          <cell r="BC15">
            <v>0.65152093785195042</v>
          </cell>
          <cell r="BD15">
            <v>0.52782942826127632</v>
          </cell>
          <cell r="BE15">
            <v>0.53560804292764019</v>
          </cell>
          <cell r="BF15">
            <v>2.3288006361330261E-2</v>
          </cell>
          <cell r="BG15">
            <v>3.1784037326660651E-2</v>
          </cell>
          <cell r="BI15">
            <v>22.087871512147228</v>
          </cell>
          <cell r="BJ15">
            <v>29.870066277294871</v>
          </cell>
          <cell r="BK15">
            <v>21.688403082972499</v>
          </cell>
          <cell r="BL15">
            <v>38.328997189925595</v>
          </cell>
          <cell r="BM15">
            <v>29.128243332096055</v>
          </cell>
          <cell r="BN15">
            <v>45.544469484920768</v>
          </cell>
          <cell r="BO15">
            <v>33.173010544671172</v>
          </cell>
          <cell r="BP15">
            <v>33.414297983635436</v>
          </cell>
          <cell r="BQ15">
            <v>44.857342504197341</v>
          </cell>
          <cell r="BR15">
            <v>32.910241448366691</v>
          </cell>
          <cell r="BS15">
            <v>45.433474441841433</v>
          </cell>
          <cell r="BT15">
            <v>33.28888117468437</v>
          </cell>
          <cell r="BU15">
            <v>39.008441216385222</v>
          </cell>
          <cell r="BV15">
            <v>53.485286351075771</v>
          </cell>
          <cell r="BW15">
            <v>38.271212804660053</v>
          </cell>
          <cell r="BY15">
            <v>18.337108857142901</v>
          </cell>
          <cell r="BZ15">
            <v>15.7549975228628</v>
          </cell>
          <cell r="CA15">
            <v>11.4338640988862</v>
          </cell>
          <cell r="CB15">
            <v>27.475005920634899</v>
          </cell>
          <cell r="CC15">
            <v>24.303507815109299</v>
          </cell>
          <cell r="CD15">
            <v>18.0574920027844</v>
          </cell>
          <cell r="CE15">
            <v>34.0228338492063</v>
          </cell>
          <cell r="CF15">
            <v>30.215838825049701</v>
          </cell>
          <cell r="CG15">
            <v>21.745774337708799</v>
          </cell>
          <cell r="CI15">
            <v>0.20454493040451593</v>
          </cell>
          <cell r="CJ15">
            <v>0.40195969438233825</v>
          </cell>
          <cell r="CK15">
            <v>0.93179412673785933</v>
          </cell>
          <cell r="CL15">
            <v>0.21617072914040292</v>
          </cell>
          <cell r="CM15">
            <v>0.3748755215846673</v>
          </cell>
          <cell r="CN15">
            <v>0.85043958366328343</v>
          </cell>
          <cell r="CO15">
            <v>0.14653709885766109</v>
          </cell>
          <cell r="CP15">
            <v>0.29099315899336298</v>
          </cell>
          <cell r="CQ15">
            <v>0.79384006338839219</v>
          </cell>
        </row>
        <row r="16">
          <cell r="B16" t="str">
            <v>TI</v>
          </cell>
          <cell r="C16" t="str">
            <v>Telecom Italia S.p.A. Sponsored ADR</v>
          </cell>
          <cell r="D16" t="str">
            <v>Wireless Telecommunications</v>
          </cell>
          <cell r="E16">
            <v>1532.9467</v>
          </cell>
          <cell r="F16">
            <v>2126.0819197999999</v>
          </cell>
          <cell r="G16">
            <v>12129.297352459</v>
          </cell>
          <cell r="H16">
            <v>8690.4590000000007</v>
          </cell>
          <cell r="I16">
            <v>2076.2249999999999</v>
          </cell>
          <cell r="J16">
            <v>17207.875</v>
          </cell>
          <cell r="K16">
            <v>15131.65</v>
          </cell>
          <cell r="L16">
            <v>27260.947352458999</v>
          </cell>
          <cell r="M16">
            <v>28772.4710113908</v>
          </cell>
          <cell r="O16">
            <v>5.7050000000000001</v>
          </cell>
          <cell r="P16">
            <v>2.5019999999999998</v>
          </cell>
          <cell r="Q16">
            <v>6.0529999999999999</v>
          </cell>
          <cell r="R16">
            <v>0.9425078473484223</v>
          </cell>
          <cell r="S16">
            <v>5.6820000000000004</v>
          </cell>
          <cell r="T16">
            <v>5.1870000000000003</v>
          </cell>
          <cell r="U16">
            <v>4.3289999999999997</v>
          </cell>
          <cell r="V16">
            <v>4.0478704681450317E-3</v>
          </cell>
          <cell r="W16">
            <v>9.986504723346834E-2</v>
          </cell>
          <cell r="X16">
            <v>0.31785631785631785</v>
          </cell>
          <cell r="Z16">
            <v>15621.7779028153</v>
          </cell>
          <cell r="AA16">
            <v>15929.217000000001</v>
          </cell>
          <cell r="AB16">
            <v>16432.150000000001</v>
          </cell>
          <cell r="AC16">
            <v>16403.215</v>
          </cell>
          <cell r="AD16">
            <v>8412.8700000000008</v>
          </cell>
          <cell r="AE16">
            <v>8608.5720000000001</v>
          </cell>
          <cell r="AF16">
            <v>1512.8451</v>
          </cell>
          <cell r="AG16">
            <v>2003.1559</v>
          </cell>
          <cell r="AH16">
            <v>5045.0056800000002</v>
          </cell>
          <cell r="AI16">
            <v>4954.1279999999997</v>
          </cell>
          <cell r="AJ16">
            <v>5364.643</v>
          </cell>
          <cell r="AK16">
            <v>5341.0244000000002</v>
          </cell>
          <cell r="AL16">
            <v>2244.1545000000001</v>
          </cell>
          <cell r="AM16">
            <v>2219.3523</v>
          </cell>
          <cell r="AN16">
            <v>2709.9734999999996</v>
          </cell>
          <cell r="AO16">
            <v>3145.2907</v>
          </cell>
          <cell r="AP16">
            <v>81.614943999999994</v>
          </cell>
          <cell r="AQ16">
            <v>468.57006999999999</v>
          </cell>
          <cell r="AR16">
            <v>446.30689999999998</v>
          </cell>
          <cell r="AS16">
            <v>1.9680160548774417E-2</v>
          </cell>
          <cell r="AT16">
            <v>3.1572989431935206E-2</v>
          </cell>
          <cell r="AU16">
            <v>0.52814083705432602</v>
          </cell>
          <cell r="AV16">
            <v>0.52388591876291291</v>
          </cell>
          <cell r="AW16">
            <v>9.49729732478376E-2</v>
          </cell>
          <cell r="AX16">
            <v>0.12190467467738549</v>
          </cell>
          <cell r="AY16">
            <v>0.32294695977535359</v>
          </cell>
          <cell r="AZ16">
            <v>0.31100888386415976</v>
          </cell>
          <cell r="BA16">
            <v>0.32647237275706464</v>
          </cell>
          <cell r="BB16">
            <v>0.17012597041022165</v>
          </cell>
          <cell r="BC16">
            <v>0.19141078312941398</v>
          </cell>
          <cell r="BD16">
            <v>5.1236004883353642E-3</v>
          </cell>
          <cell r="BE16">
            <v>2.8515445026974555E-2</v>
          </cell>
          <cell r="BF16">
            <v>0.31183318395495557</v>
          </cell>
          <cell r="BG16">
            <v>0.36192457728642408</v>
          </cell>
          <cell r="BI16">
            <v>1.7540751012158775</v>
          </cell>
          <cell r="BJ16">
            <v>1.8062702649722708</v>
          </cell>
          <cell r="BK16">
            <v>1.7509863901796658</v>
          </cell>
          <cell r="BL16">
            <v>3.4200541564758278</v>
          </cell>
          <cell r="BM16">
            <v>3.3423047412963265</v>
          </cell>
          <cell r="BN16">
            <v>19.018781903970737</v>
          </cell>
          <cell r="BO16">
            <v>14.363570509609762</v>
          </cell>
          <cell r="BP16">
            <v>5.3870697560173664</v>
          </cell>
          <cell r="BQ16">
            <v>5.8077770722498094</v>
          </cell>
          <cell r="BR16">
            <v>5.3633524190502149</v>
          </cell>
          <cell r="BS16">
            <v>10.617251796517865</v>
          </cell>
          <cell r="BT16">
            <v>9.1477938784452579</v>
          </cell>
          <cell r="BU16">
            <v>19.471935119085099</v>
          </cell>
          <cell r="BV16" t="str">
            <v>--</v>
          </cell>
          <cell r="BW16">
            <v>18.546765054797461</v>
          </cell>
          <cell r="BY16">
            <v>1.4968211190476199</v>
          </cell>
          <cell r="BZ16">
            <v>1.7677110262425499</v>
          </cell>
          <cell r="CA16">
            <v>2.0952907342084299</v>
          </cell>
          <cell r="CB16">
            <v>4.7309744376984098</v>
          </cell>
          <cell r="CC16">
            <v>5.1622254500994096</v>
          </cell>
          <cell r="CD16">
            <v>5.6242547864757402</v>
          </cell>
          <cell r="CE16">
            <v>45.328173809523797</v>
          </cell>
          <cell r="CF16">
            <v>50.019382076923101</v>
          </cell>
          <cell r="CG16">
            <v>209.171015507692</v>
          </cell>
          <cell r="CI16">
            <v>0.17186688435552022</v>
          </cell>
          <cell r="CJ16">
            <v>-7.7138880870460946E-3</v>
          </cell>
          <cell r="CK16">
            <v>-0.16284882447182614</v>
          </cell>
          <cell r="CL16">
            <v>0.13868079968703939</v>
          </cell>
          <cell r="CM16">
            <v>4.3555692809508439E-2</v>
          </cell>
          <cell r="CN16">
            <v>-4.2171814660444729E-2</v>
          </cell>
          <cell r="CO16">
            <v>-0.5704231279885823</v>
          </cell>
          <cell r="CP16">
            <v>-0.61071220173932028</v>
          </cell>
          <cell r="CQ16">
            <v>-0.90690901857590756</v>
          </cell>
        </row>
        <row r="17">
          <cell r="B17" t="str">
            <v>MU</v>
          </cell>
          <cell r="C17" t="str">
            <v>Micron Technology, Inc.</v>
          </cell>
          <cell r="D17" t="str">
            <v>Semiconductors</v>
          </cell>
          <cell r="E17">
            <v>1125.3497</v>
          </cell>
          <cell r="F17">
            <v>1131</v>
          </cell>
          <cell r="G17">
            <v>292026.91440000001</v>
          </cell>
          <cell r="H17">
            <v>290568.06</v>
          </cell>
          <cell r="I17">
            <v>10311</v>
          </cell>
          <cell r="J17">
            <v>15352</v>
          </cell>
          <cell r="K17">
            <v>5041</v>
          </cell>
          <cell r="L17">
            <v>297067.91440000001</v>
          </cell>
          <cell r="M17">
            <v>293828.5</v>
          </cell>
          <cell r="O17">
            <v>258.20240000000001</v>
          </cell>
          <cell r="P17">
            <v>64.72</v>
          </cell>
          <cell r="Q17">
            <v>258.20240000000001</v>
          </cell>
          <cell r="R17">
            <v>1</v>
          </cell>
          <cell r="S17">
            <v>253.3</v>
          </cell>
          <cell r="T17">
            <v>150.57</v>
          </cell>
          <cell r="U17">
            <v>115.6</v>
          </cell>
          <cell r="V17">
            <v>1.9354125542834666E-2</v>
          </cell>
          <cell r="W17">
            <v>0.71483296805472563</v>
          </cell>
          <cell r="X17">
            <v>1.2335847750865052</v>
          </cell>
          <cell r="Z17">
            <v>29837</v>
          </cell>
          <cell r="AA17">
            <v>41112.574000000001</v>
          </cell>
          <cell r="AB17">
            <v>60286.42</v>
          </cell>
          <cell r="AC17">
            <v>59700.457000000002</v>
          </cell>
          <cell r="AD17">
            <v>17589.2</v>
          </cell>
          <cell r="AE17">
            <v>30519.535</v>
          </cell>
          <cell r="AF17">
            <v>12889.548000000001</v>
          </cell>
          <cell r="AG17">
            <v>26733.092000000001</v>
          </cell>
          <cell r="AH17">
            <v>12971.333339999999</v>
          </cell>
          <cell r="AI17">
            <v>21138.151999999998</v>
          </cell>
          <cell r="AJ17">
            <v>38598.222999999998</v>
          </cell>
          <cell r="AK17">
            <v>38141.313000000002</v>
          </cell>
          <cell r="AL17">
            <v>14709.097</v>
          </cell>
          <cell r="AM17">
            <v>19984.011999999999</v>
          </cell>
          <cell r="AN17">
            <v>6429.0549999999985</v>
          </cell>
          <cell r="AO17">
            <v>18614.210999999999</v>
          </cell>
          <cell r="AP17">
            <v>10981.707</v>
          </cell>
          <cell r="AQ17">
            <v>22328.937999999998</v>
          </cell>
          <cell r="AR17">
            <v>22074.66</v>
          </cell>
          <cell r="AS17">
            <v>0.37790575459999332</v>
          </cell>
          <cell r="AT17">
            <v>0.46637425328805726</v>
          </cell>
          <cell r="AU17">
            <v>0.4278301815887276</v>
          </cell>
          <cell r="AV17">
            <v>0.50624228474671407</v>
          </cell>
          <cell r="AW17">
            <v>0.31351838977535196</v>
          </cell>
          <cell r="AX17">
            <v>0.4434347237736127</v>
          </cell>
          <cell r="AY17">
            <v>0.43473986459764719</v>
          </cell>
          <cell r="AZ17">
            <v>0.51415296935677146</v>
          </cell>
          <cell r="BA17">
            <v>0.64024738904715195</v>
          </cell>
          <cell r="BB17">
            <v>0.15637685443874175</v>
          </cell>
          <cell r="BC17">
            <v>0.30876291874687534</v>
          </cell>
          <cell r="BD17">
            <v>0.26711309780798448</v>
          </cell>
          <cell r="BE17">
            <v>0.37038089174975058</v>
          </cell>
          <cell r="BF17">
            <v>2.2125814516571432E-2</v>
          </cell>
          <cell r="BG17">
            <v>6.4061449148953259E-2</v>
          </cell>
          <cell r="BI17">
            <v>4.9217127433379613</v>
          </cell>
          <cell r="BJ17">
            <v>7.1469254150810402</v>
          </cell>
          <cell r="BK17">
            <v>4.8738754100840618</v>
          </cell>
          <cell r="BL17">
            <v>16.705051963704999</v>
          </cell>
          <cell r="BM17">
            <v>9.6275549414497963</v>
          </cell>
          <cell r="BN17">
            <v>22.795873059319067</v>
          </cell>
          <cell r="BO17">
            <v>10.991190244660064</v>
          </cell>
          <cell r="BP17">
            <v>7.7036807830920759</v>
          </cell>
          <cell r="BQ17">
            <v>13.90038731862653</v>
          </cell>
          <cell r="BR17">
            <v>7.6124877562368614</v>
          </cell>
          <cell r="BS17">
            <v>45.703217657960629</v>
          </cell>
          <cell r="BT17">
            <v>15.785170803103071</v>
          </cell>
          <cell r="BU17">
            <v>13.162968761466768</v>
          </cell>
          <cell r="BV17">
            <v>26.459279964398977</v>
          </cell>
          <cell r="BW17">
            <v>13.013071199355743</v>
          </cell>
          <cell r="BY17">
            <v>3.1997857226190498</v>
          </cell>
          <cell r="BZ17">
            <v>3.46151206282306</v>
          </cell>
          <cell r="CA17">
            <v>3.1513297841686501</v>
          </cell>
          <cell r="CB17">
            <v>5.8805030849206297</v>
          </cell>
          <cell r="CC17">
            <v>6.8329380236580501</v>
          </cell>
          <cell r="CD17">
            <v>6.8216990217979303</v>
          </cell>
          <cell r="CE17">
            <v>10.5515281960317</v>
          </cell>
          <cell r="CF17">
            <v>17.215658520676001</v>
          </cell>
          <cell r="CG17">
            <v>18.562329022146301</v>
          </cell>
          <cell r="CI17">
            <v>0.53813822861535265</v>
          </cell>
          <cell r="CJ17">
            <v>0.42183896921740738</v>
          </cell>
          <cell r="CK17">
            <v>0.56178917486300306</v>
          </cell>
          <cell r="CL17">
            <v>0.31003770797206442</v>
          </cell>
          <cell r="CM17">
            <v>0.12743314170554543</v>
          </cell>
          <cell r="CN17">
            <v>0.12929062957422732</v>
          </cell>
          <cell r="CO17">
            <v>0.24749406123154727</v>
          </cell>
          <cell r="CP17">
            <v>-0.23540718784250714</v>
          </cell>
          <cell r="CQ17">
            <v>-0.29087730608792017</v>
          </cell>
        </row>
        <row r="18">
          <cell r="B18" t="str">
            <v>AAPL</v>
          </cell>
          <cell r="C18" t="str">
            <v>Apple Inc.</v>
          </cell>
          <cell r="D18" t="str">
            <v>Telecommunications Equipment</v>
          </cell>
          <cell r="E18">
            <v>14776.352999999999</v>
          </cell>
          <cell r="F18">
            <v>14863.609</v>
          </cell>
          <cell r="G18">
            <v>4141224.4215350002</v>
          </cell>
          <cell r="H18">
            <v>4112122.8</v>
          </cell>
          <cell r="I18">
            <v>54697</v>
          </cell>
          <cell r="J18">
            <v>112377</v>
          </cell>
          <cell r="K18">
            <v>57680</v>
          </cell>
          <cell r="L18">
            <v>4198904.4215350002</v>
          </cell>
          <cell r="M18">
            <v>4232886.9872199995</v>
          </cell>
          <cell r="O18">
            <v>278.61500000000001</v>
          </cell>
          <cell r="P18">
            <v>172.42</v>
          </cell>
          <cell r="Q18">
            <v>286.19</v>
          </cell>
          <cell r="R18">
            <v>0.9735315699360565</v>
          </cell>
          <cell r="S18">
            <v>269.43</v>
          </cell>
          <cell r="T18">
            <v>230.03</v>
          </cell>
          <cell r="U18">
            <v>196.45</v>
          </cell>
          <cell r="V18">
            <v>3.4090487325093788E-2</v>
          </cell>
          <cell r="W18">
            <v>0.21121158109811766</v>
          </cell>
          <cell r="X18">
            <v>0.41824891829982191</v>
          </cell>
          <cell r="Z18">
            <v>395760</v>
          </cell>
          <cell r="AA18">
            <v>421044.84</v>
          </cell>
          <cell r="AB18">
            <v>458608.2</v>
          </cell>
          <cell r="AC18">
            <v>456817.38</v>
          </cell>
          <cell r="AD18">
            <v>197674.81</v>
          </cell>
          <cell r="AE18">
            <v>217870.73</v>
          </cell>
          <cell r="AF18">
            <v>134041.70000000001</v>
          </cell>
          <cell r="AG18">
            <v>147653.51999999999</v>
          </cell>
          <cell r="AH18">
            <v>137352</v>
          </cell>
          <cell r="AI18">
            <v>145708.20000000001</v>
          </cell>
          <cell r="AJ18">
            <v>159365.85999999999</v>
          </cell>
          <cell r="AK18">
            <v>158549.94</v>
          </cell>
          <cell r="AL18">
            <v>12641.493</v>
          </cell>
          <cell r="AM18">
            <v>14407.304</v>
          </cell>
          <cell r="AN18">
            <v>133066.70700000002</v>
          </cell>
          <cell r="AO18">
            <v>144958.55599999998</v>
          </cell>
          <cell r="AP18">
            <v>112114.35</v>
          </cell>
          <cell r="AQ18">
            <v>122867.97</v>
          </cell>
          <cell r="AR18">
            <v>122250.63</v>
          </cell>
          <cell r="AS18">
            <v>6.3889326864766671E-2</v>
          </cell>
          <cell r="AT18">
            <v>8.9214630916744975E-2</v>
          </cell>
          <cell r="AU18">
            <v>0.4694863615951213</v>
          </cell>
          <cell r="AV18">
            <v>0.47506941655208085</v>
          </cell>
          <cell r="AW18">
            <v>0.31835492865795484</v>
          </cell>
          <cell r="AX18">
            <v>0.32196005217525547</v>
          </cell>
          <cell r="AY18">
            <v>0.34705882352941175</v>
          </cell>
          <cell r="AZ18">
            <v>0.34606337890282662</v>
          </cell>
          <cell r="BA18">
            <v>0.3474989326401054</v>
          </cell>
          <cell r="BB18">
            <v>0.31603927743182891</v>
          </cell>
          <cell r="BC18">
            <v>0.31608365484960799</v>
          </cell>
          <cell r="BD18">
            <v>0.26627650869679342</v>
          </cell>
          <cell r="BE18">
            <v>0.26791489990802608</v>
          </cell>
          <cell r="BF18">
            <v>3.2359614114636857E-2</v>
          </cell>
          <cell r="BG18">
            <v>3.5251514375981181E-2</v>
          </cell>
          <cell r="BI18">
            <v>9.2660375295265673</v>
          </cell>
          <cell r="BJ18">
            <v>10.053292630827631</v>
          </cell>
          <cell r="BK18">
            <v>9.2298545626092157</v>
          </cell>
          <cell r="BL18">
            <v>21.413385889785349</v>
          </cell>
          <cell r="BM18">
            <v>19.428433489987384</v>
          </cell>
          <cell r="BN18">
            <v>31.578881700396213</v>
          </cell>
          <cell r="BO18">
            <v>28.667701164320363</v>
          </cell>
          <cell r="BP18">
            <v>26.697499773383701</v>
          </cell>
          <cell r="BQ18">
            <v>29.050437705084541</v>
          </cell>
          <cell r="BR18">
            <v>26.560814136854656</v>
          </cell>
          <cell r="BS18">
            <v>31.810263308161662</v>
          </cell>
          <cell r="BT18">
            <v>29.200670205489629</v>
          </cell>
          <cell r="BU18">
            <v>33.636822975881593</v>
          </cell>
          <cell r="BV18">
            <v>36.677934626566532</v>
          </cell>
          <cell r="BW18">
            <v>33.467817528034359</v>
          </cell>
          <cell r="BY18">
            <v>8.1965922257936494</v>
          </cell>
          <cell r="BZ18">
            <v>7.9982662846918497</v>
          </cell>
          <cell r="CA18">
            <v>7.19498584057279</v>
          </cell>
          <cell r="CB18">
            <v>23.7657008095238</v>
          </cell>
          <cell r="CC18">
            <v>23.333165429423399</v>
          </cell>
          <cell r="CD18">
            <v>21.886477597454299</v>
          </cell>
          <cell r="CE18">
            <v>29.590917464285699</v>
          </cell>
          <cell r="CF18">
            <v>29.138717687872798</v>
          </cell>
          <cell r="CG18">
            <v>27.345491717581599</v>
          </cell>
          <cell r="CI18">
            <v>0.13047438182510862</v>
          </cell>
          <cell r="CJ18">
            <v>0.15850575608630924</v>
          </cell>
          <cell r="CK18">
            <v>0.28784652740732874</v>
          </cell>
          <cell r="CL18">
            <v>0.1233626135142214</v>
          </cell>
          <cell r="CM18">
            <v>0.14418679514944155</v>
          </cell>
          <cell r="CN18">
            <v>0.21981710645339247</v>
          </cell>
          <cell r="CO18">
            <v>0.13672795094910573</v>
          </cell>
          <cell r="CP18">
            <v>0.15436867662439568</v>
          </cell>
          <cell r="CQ18">
            <v>0.23006831704748709</v>
          </cell>
        </row>
        <row r="19">
          <cell r="B19" t="str">
            <v>AMZN</v>
          </cell>
          <cell r="C19" t="str">
            <v>Amazon.com, Inc.</v>
          </cell>
          <cell r="D19" t="str">
            <v>Internet Retail</v>
          </cell>
          <cell r="E19">
            <v>10690.216</v>
          </cell>
          <cell r="F19">
            <v>10845</v>
          </cell>
          <cell r="G19">
            <v>2507526.6749999998</v>
          </cell>
          <cell r="H19">
            <v>2473178</v>
          </cell>
          <cell r="I19">
            <v>97739</v>
          </cell>
          <cell r="J19">
            <v>152737</v>
          </cell>
          <cell r="K19">
            <v>54998</v>
          </cell>
          <cell r="L19">
            <v>2562524.6749999998</v>
          </cell>
          <cell r="M19">
            <v>2566428.875</v>
          </cell>
          <cell r="O19">
            <v>231.215</v>
          </cell>
          <cell r="P19">
            <v>167.32</v>
          </cell>
          <cell r="Q19">
            <v>254</v>
          </cell>
          <cell r="R19">
            <v>0.91029527559055123</v>
          </cell>
          <cell r="S19">
            <v>248.4</v>
          </cell>
          <cell r="T19">
            <v>229.95</v>
          </cell>
          <cell r="U19">
            <v>212.1</v>
          </cell>
          <cell r="V19">
            <v>-6.9182769726248039E-2</v>
          </cell>
          <cell r="W19">
            <v>5.5011959121549214E-3</v>
          </cell>
          <cell r="X19">
            <v>9.012258368694015E-2</v>
          </cell>
          <cell r="Z19">
            <v>637959</v>
          </cell>
          <cell r="AA19">
            <v>714544.94</v>
          </cell>
          <cell r="AB19">
            <v>795376.94</v>
          </cell>
          <cell r="AC19">
            <v>790726.3</v>
          </cell>
          <cell r="AD19">
            <v>359077.66</v>
          </cell>
          <cell r="AE19">
            <v>404235.75</v>
          </cell>
          <cell r="AF19">
            <v>80063.100000000006</v>
          </cell>
          <cell r="AG19">
            <v>100553.69500000001</v>
          </cell>
          <cell r="AH19">
            <v>122151</v>
          </cell>
          <cell r="AI19">
            <v>166622.19</v>
          </cell>
          <cell r="AJ19">
            <v>200107.95</v>
          </cell>
          <cell r="AK19">
            <v>198181.38</v>
          </cell>
          <cell r="AL19">
            <v>124307.336</v>
          </cell>
          <cell r="AM19">
            <v>145145.85999999999</v>
          </cell>
          <cell r="AN19">
            <v>42314.854000000007</v>
          </cell>
          <cell r="AO19">
            <v>54962.090000000026</v>
          </cell>
          <cell r="AP19">
            <v>76918.559999999998</v>
          </cell>
          <cell r="AQ19">
            <v>86380.9</v>
          </cell>
          <cell r="AR19">
            <v>85836.483999999997</v>
          </cell>
          <cell r="AS19">
            <v>0.12004837301456672</v>
          </cell>
          <cell r="AT19">
            <v>0.11312374558274807</v>
          </cell>
          <cell r="AU19">
            <v>0.50252634914747285</v>
          </cell>
          <cell r="AV19">
            <v>0.50823166937678632</v>
          </cell>
          <cell r="AW19">
            <v>0.11204767610557849</v>
          </cell>
          <cell r="AX19">
            <v>0.1264226933710198</v>
          </cell>
          <cell r="AY19">
            <v>0.19147155224708798</v>
          </cell>
          <cell r="AZ19">
            <v>0.23318643891033644</v>
          </cell>
          <cell r="BA19">
            <v>0.25158882529332571</v>
          </cell>
          <cell r="BB19">
            <v>5.9219303967081499E-2</v>
          </cell>
          <cell r="BC19">
            <v>6.9101940521433813E-2</v>
          </cell>
          <cell r="BD19">
            <v>0.10764691721139331</v>
          </cell>
          <cell r="BE19">
            <v>0.10860372693228949</v>
          </cell>
          <cell r="BF19">
            <v>1.7109506068709979E-2</v>
          </cell>
          <cell r="BG19">
            <v>2.2223264965158199E-2</v>
          </cell>
          <cell r="BI19">
            <v>3.2456601924079163</v>
          </cell>
          <cell r="BJ19">
            <v>3.5916969407130646</v>
          </cell>
          <cell r="BK19">
            <v>3.2266825274064397</v>
          </cell>
          <cell r="BL19">
            <v>7.1472808277741375</v>
          </cell>
          <cell r="BM19">
            <v>6.3488419195976604</v>
          </cell>
          <cell r="BN19">
            <v>32.055077495125715</v>
          </cell>
          <cell r="BO19">
            <v>25.522969344885833</v>
          </cell>
          <cell r="BP19">
            <v>12.949899102529209</v>
          </cell>
          <cell r="BQ19">
            <v>15.402683610148204</v>
          </cell>
          <cell r="BR19">
            <v>12.825221961446308</v>
          </cell>
          <cell r="BS19">
            <v>60.650779392976276</v>
          </cell>
          <cell r="BT19">
            <v>46.694528446789391</v>
          </cell>
          <cell r="BU19">
            <v>28.812666651164324</v>
          </cell>
          <cell r="BV19">
            <v>32.153202036023558</v>
          </cell>
          <cell r="BW19">
            <v>28.631074693595462</v>
          </cell>
          <cell r="BY19">
            <v>3.2583275567460301</v>
          </cell>
          <cell r="BZ19">
            <v>3.1080796570576501</v>
          </cell>
          <cell r="CA19">
            <v>2.8624845930787601</v>
          </cell>
          <cell r="CB19">
            <v>13.4859317103175</v>
          </cell>
          <cell r="CC19">
            <v>13.678631226640199</v>
          </cell>
          <cell r="CD19">
            <v>15.914710645982501</v>
          </cell>
          <cell r="CE19">
            <v>31.690275781745999</v>
          </cell>
          <cell r="CF19">
            <v>34.249040622266399</v>
          </cell>
          <cell r="CG19">
            <v>49.591418642800299</v>
          </cell>
          <cell r="CI19">
            <v>-3.8876890421551957E-3</v>
          </cell>
          <cell r="CJ19">
            <v>4.42654470061139E-2</v>
          </cell>
          <cell r="CK19">
            <v>0.13386119186654888</v>
          </cell>
          <cell r="CL19">
            <v>-3.9747539829094403E-2</v>
          </cell>
          <cell r="CM19">
            <v>-5.3275222647404141E-2</v>
          </cell>
          <cell r="CN19">
            <v>-0.18629377620520715</v>
          </cell>
          <cell r="CO19">
            <v>-9.0804168142935904E-2</v>
          </cell>
          <cell r="CP19">
            <v>-0.15873069354146274</v>
          </cell>
          <cell r="CQ19">
            <v>-0.4189989429683848</v>
          </cell>
        </row>
        <row r="20">
          <cell r="B20" t="str">
            <v>GOOGL</v>
          </cell>
          <cell r="C20" t="str">
            <v>Alphabet Inc. Class A</v>
          </cell>
          <cell r="D20" t="str">
            <v>Internet Software/Services</v>
          </cell>
          <cell r="E20">
            <v>5818</v>
          </cell>
          <cell r="F20">
            <v>12203</v>
          </cell>
          <cell r="G20">
            <v>3869717.7360000005</v>
          </cell>
          <cell r="H20">
            <v>3834048</v>
          </cell>
          <cell r="I20">
            <v>98496</v>
          </cell>
          <cell r="J20">
            <v>41195</v>
          </cell>
          <cell r="K20">
            <v>-57301</v>
          </cell>
          <cell r="L20">
            <v>3812416.7360000005</v>
          </cell>
          <cell r="M20">
            <v>3823680.105</v>
          </cell>
          <cell r="O20">
            <v>317.11200000000002</v>
          </cell>
          <cell r="P20">
            <v>144.69999999999999</v>
          </cell>
          <cell r="Q20">
            <v>323.44</v>
          </cell>
          <cell r="R20">
            <v>0.980435320306703</v>
          </cell>
          <cell r="S20">
            <v>290.10000000000002</v>
          </cell>
          <cell r="T20">
            <v>240.37</v>
          </cell>
          <cell r="U20">
            <v>174.67</v>
          </cell>
          <cell r="V20">
            <v>9.3112719751809792E-2</v>
          </cell>
          <cell r="W20">
            <v>0.31926613138078808</v>
          </cell>
          <cell r="X20">
            <v>0.81549207076200858</v>
          </cell>
          <cell r="Z20">
            <v>349807</v>
          </cell>
          <cell r="AA20">
            <v>399985.66</v>
          </cell>
          <cell r="AB20">
            <v>455169.84</v>
          </cell>
          <cell r="AC20">
            <v>451994.84</v>
          </cell>
          <cell r="AD20">
            <v>238044.64</v>
          </cell>
          <cell r="AE20">
            <v>272179.65999999997</v>
          </cell>
          <cell r="AF20">
            <v>130353.55</v>
          </cell>
          <cell r="AG20">
            <v>153920.70000000001</v>
          </cell>
          <cell r="AH20">
            <v>127490</v>
          </cell>
          <cell r="AI20">
            <v>176922.34</v>
          </cell>
          <cell r="AJ20">
            <v>212313.64</v>
          </cell>
          <cell r="AK20">
            <v>210277.42</v>
          </cell>
          <cell r="AL20">
            <v>89223.41</v>
          </cell>
          <cell r="AM20">
            <v>112927.34</v>
          </cell>
          <cell r="AN20">
            <v>87698.93</v>
          </cell>
          <cell r="AO20">
            <v>99386.300000000017</v>
          </cell>
          <cell r="AP20">
            <v>129211.766</v>
          </cell>
          <cell r="AQ20">
            <v>135042.82999999999</v>
          </cell>
          <cell r="AR20">
            <v>134707.34</v>
          </cell>
          <cell r="AS20">
            <v>0.14344670060919307</v>
          </cell>
          <cell r="AT20">
            <v>0.13796539605944891</v>
          </cell>
          <cell r="AU20">
            <v>0.59513293551573831</v>
          </cell>
          <cell r="AV20">
            <v>0.59797384642181028</v>
          </cell>
          <cell r="AW20">
            <v>0.32589555835576706</v>
          </cell>
          <cell r="AX20">
            <v>0.33816102578325491</v>
          </cell>
          <cell r="AY20">
            <v>0.36445811547510487</v>
          </cell>
          <cell r="AZ20">
            <v>0.44232170723320435</v>
          </cell>
          <cell r="BA20">
            <v>0.46644927089193783</v>
          </cell>
          <cell r="BB20">
            <v>0.21925518529839294</v>
          </cell>
          <cell r="BC20">
            <v>0.21834992406351003</v>
          </cell>
          <cell r="BD20">
            <v>0.32304099601970732</v>
          </cell>
          <cell r="BE20">
            <v>0.29668668293136463</v>
          </cell>
          <cell r="BF20">
            <v>2.2873717282621393E-2</v>
          </cell>
          <cell r="BG20">
            <v>2.5922028101891269E-2</v>
          </cell>
          <cell r="BI20">
            <v>8.4595658326541958</v>
          </cell>
          <cell r="BJ20">
            <v>9.5595429721155512</v>
          </cell>
          <cell r="BK20">
            <v>8.4005568229213079</v>
          </cell>
          <cell r="BL20">
            <v>16.062869993628084</v>
          </cell>
          <cell r="BM20">
            <v>14.048368291003083</v>
          </cell>
          <cell r="BN20">
            <v>29.333149001312201</v>
          </cell>
          <cell r="BO20">
            <v>24.8418835478269</v>
          </cell>
          <cell r="BP20">
            <v>18.183978598367812</v>
          </cell>
          <cell r="BQ20">
            <v>21.612194960794664</v>
          </cell>
          <cell r="BR20">
            <v>18.009582921756699</v>
          </cell>
          <cell r="BS20">
            <v>43.60007704769032</v>
          </cell>
          <cell r="BT20">
            <v>38.472909294339352</v>
          </cell>
          <cell r="BU20">
            <v>28.462057078701132</v>
          </cell>
          <cell r="BV20">
            <v>29.67259189074159</v>
          </cell>
          <cell r="BW20">
            <v>28.39134813747609</v>
          </cell>
          <cell r="BY20">
            <v>5.8869950190476201</v>
          </cell>
          <cell r="BZ20">
            <v>5.6109837880715698</v>
          </cell>
          <cell r="CA20">
            <v>5.2767117327764499</v>
          </cell>
          <cell r="CB20">
            <v>13.0035325496032</v>
          </cell>
          <cell r="CC20">
            <v>12.804570923459201</v>
          </cell>
          <cell r="CD20">
            <v>12.8352289144789</v>
          </cell>
          <cell r="CE20">
            <v>20.5269108333333</v>
          </cell>
          <cell r="CF20">
            <v>20.6100339542744</v>
          </cell>
          <cell r="CG20">
            <v>21.73468333572</v>
          </cell>
          <cell r="CI20">
            <v>0.436992184515685</v>
          </cell>
          <cell r="CJ20">
            <v>0.50767960703049031</v>
          </cell>
          <cell r="CK20">
            <v>0.60318892921653355</v>
          </cell>
          <cell r="CL20">
            <v>0.39838759421744152</v>
          </cell>
          <cell r="CM20">
            <v>0.42011619968092972</v>
          </cell>
          <cell r="CN20">
            <v>0.41672413632258665</v>
          </cell>
          <cell r="CO20">
            <v>0.38657284136890602</v>
          </cell>
          <cell r="CP20">
            <v>0.38098060109203602</v>
          </cell>
          <cell r="CQ20">
            <v>0.30952251013130661</v>
          </cell>
        </row>
        <row r="21">
          <cell r="B21" t="str">
            <v>TSLA</v>
          </cell>
          <cell r="C21" t="str">
            <v>Tesla, Inc.</v>
          </cell>
          <cell r="D21" t="str">
            <v>Motor Vehicles</v>
          </cell>
          <cell r="E21">
            <v>3325.819</v>
          </cell>
          <cell r="F21">
            <v>3526</v>
          </cell>
          <cell r="G21">
            <v>1571591.7952000001</v>
          </cell>
          <cell r="H21">
            <v>1480555.4</v>
          </cell>
          <cell r="I21">
            <v>42235</v>
          </cell>
          <cell r="J21">
            <v>13788</v>
          </cell>
          <cell r="K21">
            <v>-28447</v>
          </cell>
          <cell r="L21">
            <v>1543144.7952000001</v>
          </cell>
          <cell r="M21">
            <v>1541968.42</v>
          </cell>
          <cell r="O21">
            <v>445.71519999999998</v>
          </cell>
          <cell r="P21">
            <v>221.86</v>
          </cell>
          <cell r="Q21">
            <v>479.86</v>
          </cell>
          <cell r="R21">
            <v>0.92884424623848616</v>
          </cell>
          <cell r="S21">
            <v>445.23</v>
          </cell>
          <cell r="T21">
            <v>368.81</v>
          </cell>
          <cell r="U21">
            <v>325.31</v>
          </cell>
          <cell r="V21">
            <v>1.089773824764606E-3</v>
          </cell>
          <cell r="W21">
            <v>0.20852254548412463</v>
          </cell>
          <cell r="X21">
            <v>0.37012449663397984</v>
          </cell>
          <cell r="Z21">
            <v>97690</v>
          </cell>
          <cell r="AA21">
            <v>95123.483999999997</v>
          </cell>
          <cell r="AB21">
            <v>108490.78</v>
          </cell>
          <cell r="AC21">
            <v>107721.7</v>
          </cell>
          <cell r="AD21">
            <v>16855.171999999999</v>
          </cell>
          <cell r="AE21">
            <v>19741.465</v>
          </cell>
          <cell r="AF21">
            <v>4748.1405999999997</v>
          </cell>
          <cell r="AG21">
            <v>7115.9486999999999</v>
          </cell>
          <cell r="AH21">
            <v>13128</v>
          </cell>
          <cell r="AI21">
            <v>13186.561</v>
          </cell>
          <cell r="AJ21">
            <v>15279.186</v>
          </cell>
          <cell r="AK21">
            <v>15158.788</v>
          </cell>
          <cell r="AL21">
            <v>9963.4375</v>
          </cell>
          <cell r="AM21">
            <v>11443.444</v>
          </cell>
          <cell r="AN21">
            <v>3223.1234999999997</v>
          </cell>
          <cell r="AO21">
            <v>3835.7420000000002</v>
          </cell>
          <cell r="AP21">
            <v>6148.5933000000005</v>
          </cell>
          <cell r="AQ21">
            <v>7683.1733000000004</v>
          </cell>
          <cell r="AR21">
            <v>7594.8823000000002</v>
          </cell>
          <cell r="AS21">
            <v>-2.6272044221517077E-2</v>
          </cell>
          <cell r="AT21">
            <v>0.14052571917992407</v>
          </cell>
          <cell r="AU21">
            <v>0.17719254269534535</v>
          </cell>
          <cell r="AV21">
            <v>0.18196444896054761</v>
          </cell>
          <cell r="AW21">
            <v>4.9915545566013964E-2</v>
          </cell>
          <cell r="AX21">
            <v>6.5590354313979499E-2</v>
          </cell>
          <cell r="AY21">
            <v>0.13438427679394002</v>
          </cell>
          <cell r="AZ21">
            <v>0.13862571518091157</v>
          </cell>
          <cell r="BA21">
            <v>0.14083395842485416</v>
          </cell>
          <cell r="BB21">
            <v>3.3883572851473774E-2</v>
          </cell>
          <cell r="BC21">
            <v>3.5355465229395533E-2</v>
          </cell>
          <cell r="BD21">
            <v>6.4638016202182E-2</v>
          </cell>
          <cell r="BE21">
            <v>7.081867509847381E-2</v>
          </cell>
          <cell r="BF21">
            <v>2.1769691968297842E-3</v>
          </cell>
          <cell r="BG21">
            <v>2.5907453378644259E-3</v>
          </cell>
          <cell r="BI21">
            <v>14.314371384781339</v>
          </cell>
          <cell r="BJ21">
            <v>16.2101760276148</v>
          </cell>
          <cell r="BK21">
            <v>14.212898275779748</v>
          </cell>
          <cell r="BL21">
            <v>91.483398686171824</v>
          </cell>
          <cell r="BM21">
            <v>78.108104945605604</v>
          </cell>
          <cell r="BN21" t="str">
            <v>--</v>
          </cell>
          <cell r="BO21" t="str">
            <v>--</v>
          </cell>
          <cell r="BP21" t="str">
            <v>--</v>
          </cell>
          <cell r="BQ21" t="str">
            <v>--</v>
          </cell>
          <cell r="BR21" t="str">
            <v>--</v>
          </cell>
          <cell r="BS21" t="str">
            <v>--</v>
          </cell>
          <cell r="BT21" t="str">
            <v>--</v>
          </cell>
          <cell r="BU21" t="str">
            <v>--</v>
          </cell>
          <cell r="BV21" t="str">
            <v>--</v>
          </cell>
          <cell r="BW21" t="str">
            <v>--</v>
          </cell>
          <cell r="BY21">
            <v>11.2139792595238</v>
          </cell>
          <cell r="BZ21">
            <v>8.9251888320079509</v>
          </cell>
          <cell r="CA21">
            <v>9.7046104684168704</v>
          </cell>
          <cell r="CB21">
            <v>75.160089579365106</v>
          </cell>
          <cell r="CC21">
            <v>58.869449260437399</v>
          </cell>
          <cell r="CD21">
            <v>54.061360254972101</v>
          </cell>
          <cell r="CE21">
            <v>141.37482265873001</v>
          </cell>
          <cell r="CF21">
            <v>106.37764724453299</v>
          </cell>
          <cell r="CG21">
            <v>93.994334159109101</v>
          </cell>
          <cell r="CI21">
            <v>0.27647564290119764</v>
          </cell>
          <cell r="CJ21">
            <v>0.60381720254998261</v>
          </cell>
          <cell r="CK21">
            <v>0.4750073103260235</v>
          </cell>
          <cell r="CL21" t="str">
            <v>--</v>
          </cell>
          <cell r="CM21" t="str">
            <v>--</v>
          </cell>
          <cell r="CN21" t="str">
            <v>--</v>
          </cell>
          <cell r="CO21" t="str">
            <v>--</v>
          </cell>
          <cell r="CP21" t="str">
            <v>--</v>
          </cell>
          <cell r="CQ21" t="str">
            <v>--</v>
          </cell>
        </row>
        <row r="22">
          <cell r="B22" t="str">
            <v>MSFT</v>
          </cell>
          <cell r="C22" t="str">
            <v>Microsoft Corporation</v>
          </cell>
          <cell r="D22" t="str">
            <v>Packaged Software</v>
          </cell>
          <cell r="E22">
            <v>7432.3774000000003</v>
          </cell>
          <cell r="F22">
            <v>7466</v>
          </cell>
          <cell r="G22">
            <v>3584177.2355999998</v>
          </cell>
          <cell r="H22">
            <v>3571704.5</v>
          </cell>
          <cell r="I22">
            <v>102012</v>
          </cell>
          <cell r="J22">
            <v>120375</v>
          </cell>
          <cell r="K22">
            <v>18363</v>
          </cell>
          <cell r="L22">
            <v>3602540.2355999998</v>
          </cell>
          <cell r="M22">
            <v>3604656.1</v>
          </cell>
          <cell r="O22">
            <v>480.06659999999999</v>
          </cell>
          <cell r="P22">
            <v>354.56</v>
          </cell>
          <cell r="Q22">
            <v>542.07000000000005</v>
          </cell>
          <cell r="R22">
            <v>0.88561735569206923</v>
          </cell>
          <cell r="S22">
            <v>506</v>
          </cell>
          <cell r="T22">
            <v>501.01</v>
          </cell>
          <cell r="U22">
            <v>474.96</v>
          </cell>
          <cell r="V22">
            <v>-5.1251778656126512E-2</v>
          </cell>
          <cell r="W22">
            <v>-4.1802359234346609E-2</v>
          </cell>
          <cell r="X22">
            <v>1.0751642243557402E-2</v>
          </cell>
          <cell r="Z22">
            <v>261802</v>
          </cell>
          <cell r="AA22">
            <v>298133.71999999997</v>
          </cell>
          <cell r="AB22">
            <v>351192.22</v>
          </cell>
          <cell r="AC22">
            <v>348363.63</v>
          </cell>
          <cell r="AD22">
            <v>203281.5</v>
          </cell>
          <cell r="AE22">
            <v>236568.81</v>
          </cell>
          <cell r="AF22">
            <v>134492.63</v>
          </cell>
          <cell r="AG22">
            <v>161956.26999999999</v>
          </cell>
          <cell r="AH22">
            <v>144328</v>
          </cell>
          <cell r="AI22">
            <v>168532.73</v>
          </cell>
          <cell r="AJ22">
            <v>215438.89</v>
          </cell>
          <cell r="AK22">
            <v>213600.22</v>
          </cell>
          <cell r="AL22">
            <v>69752.899999999994</v>
          </cell>
          <cell r="AM22">
            <v>105656.87</v>
          </cell>
          <cell r="AN22">
            <v>98779.830000000016</v>
          </cell>
          <cell r="AO22">
            <v>109782.02000000002</v>
          </cell>
          <cell r="AP22">
            <v>106831.14</v>
          </cell>
          <cell r="AQ22">
            <v>128595.26</v>
          </cell>
          <cell r="AR22">
            <v>127382.836</v>
          </cell>
          <cell r="AS22">
            <v>0.13877556321189277</v>
          </cell>
          <cell r="AT22">
            <v>0.17796879869878524</v>
          </cell>
          <cell r="AU22">
            <v>0.68184672300738081</v>
          </cell>
          <cell r="AV22">
            <v>0.67361631758243401</v>
          </cell>
          <cell r="AW22">
            <v>0.45111512377734397</v>
          </cell>
          <cell r="AX22">
            <v>0.46116132640979346</v>
          </cell>
          <cell r="AY22">
            <v>0.5512868503678352</v>
          </cell>
          <cell r="AZ22">
            <v>0.56529241308229083</v>
          </cell>
          <cell r="BA22">
            <v>0.6134500644689681</v>
          </cell>
          <cell r="BB22">
            <v>0.33132726482599828</v>
          </cell>
          <cell r="BC22">
            <v>0.31259809798747829</v>
          </cell>
          <cell r="BD22">
            <v>0.35833296548944549</v>
          </cell>
          <cell r="BE22">
            <v>0.36616773572034145</v>
          </cell>
          <cell r="BF22">
            <v>2.7656215680776509E-2</v>
          </cell>
          <cell r="BG22">
            <v>3.0736590890987767E-2</v>
          </cell>
          <cell r="BI22">
            <v>10.347395048099596</v>
          </cell>
          <cell r="BJ22">
            <v>12.090735995914855</v>
          </cell>
          <cell r="BK22">
            <v>10.264054539704782</v>
          </cell>
          <cell r="BL22">
            <v>17.732337177755969</v>
          </cell>
          <cell r="BM22">
            <v>15.237241545070967</v>
          </cell>
          <cell r="BN22">
            <v>26.801885724147116</v>
          </cell>
          <cell r="BO22">
            <v>22.256971588688728</v>
          </cell>
          <cell r="BP22">
            <v>16.875713423890669</v>
          </cell>
          <cell r="BQ22">
            <v>21.388463237971639</v>
          </cell>
          <cell r="BR22">
            <v>16.731687115543529</v>
          </cell>
          <cell r="BS22">
            <v>36.491823280116996</v>
          </cell>
          <cell r="BT22">
            <v>32.834667279760382</v>
          </cell>
          <cell r="BU22">
            <v>28.039134722985757</v>
          </cell>
          <cell r="BV22">
            <v>33.433177816879983</v>
          </cell>
          <cell r="BW22">
            <v>27.77477567991231</v>
          </cell>
          <cell r="BY22">
            <v>10.8922537579365</v>
          </cell>
          <cell r="BZ22">
            <v>11.0853891153082</v>
          </cell>
          <cell r="CA22">
            <v>10.315853520286399</v>
          </cell>
          <cell r="CB22">
            <v>18.934015307539699</v>
          </cell>
          <cell r="CC22">
            <v>20.027575859841001</v>
          </cell>
          <cell r="CD22">
            <v>19.874056106205199</v>
          </cell>
          <cell r="CE22">
            <v>30.1710594246032</v>
          </cell>
          <cell r="CF22">
            <v>30.871432107355801</v>
          </cell>
          <cell r="CG22">
            <v>29.5965311662689</v>
          </cell>
          <cell r="CI22">
            <v>-5.0022586871876662E-2</v>
          </cell>
          <cell r="CJ22">
            <v>-6.657358253572554E-2</v>
          </cell>
          <cell r="CK22">
            <v>3.0575781006554337E-3</v>
          </cell>
          <cell r="CL22">
            <v>-0.10870921197731342</v>
          </cell>
          <cell r="CM22">
            <v>-0.15737613268864947</v>
          </cell>
          <cell r="CN22">
            <v>-0.15086717408321937</v>
          </cell>
          <cell r="CO22">
            <v>-7.0661247641803038E-2</v>
          </cell>
          <cell r="CP22">
            <v>-9.1744930216411502E-2</v>
          </cell>
          <cell r="CQ22">
            <v>-5.2620911367413981E-2</v>
          </cell>
        </row>
        <row r="23">
          <cell r="B23" t="str">
            <v>IBM</v>
          </cell>
          <cell r="C23" t="str">
            <v>International Business Machines Corporation</v>
          </cell>
          <cell r="D23" t="str">
            <v>Information Technology Services</v>
          </cell>
          <cell r="E23">
            <v>934.73519999999996</v>
          </cell>
          <cell r="F23">
            <v>948.93102599999997</v>
          </cell>
          <cell r="G23">
            <v>296275.24493772001</v>
          </cell>
          <cell r="H23">
            <v>291842.96999999997</v>
          </cell>
          <cell r="I23">
            <v>14885</v>
          </cell>
          <cell r="J23">
            <v>66569</v>
          </cell>
          <cell r="K23">
            <v>51684</v>
          </cell>
          <cell r="L23">
            <v>347959.24493772001</v>
          </cell>
          <cell r="M23">
            <v>346412.08357299998</v>
          </cell>
          <cell r="O23">
            <v>312.22000000000003</v>
          </cell>
          <cell r="P23">
            <v>217.4</v>
          </cell>
          <cell r="Q23">
            <v>314.98</v>
          </cell>
          <cell r="R23">
            <v>0.99123753889135824</v>
          </cell>
          <cell r="S23">
            <v>309.13</v>
          </cell>
          <cell r="T23">
            <v>257.01</v>
          </cell>
          <cell r="U23">
            <v>277.22000000000003</v>
          </cell>
          <cell r="V23">
            <v>9.9957946495004002E-3</v>
          </cell>
          <cell r="W23">
            <v>0.2148165441033425</v>
          </cell>
          <cell r="X23">
            <v>0.12625351706226096</v>
          </cell>
          <cell r="Z23">
            <v>62753</v>
          </cell>
          <cell r="AA23">
            <v>67074.516000000003</v>
          </cell>
          <cell r="AB23">
            <v>70150.13</v>
          </cell>
          <cell r="AC23">
            <v>69973.179999999993</v>
          </cell>
          <cell r="AD23">
            <v>39757.58</v>
          </cell>
          <cell r="AE23">
            <v>42034.656000000003</v>
          </cell>
          <cell r="AF23">
            <v>13812.620999999999</v>
          </cell>
          <cell r="AG23">
            <v>14363.154</v>
          </cell>
          <cell r="AH23">
            <v>15363</v>
          </cell>
          <cell r="AI23">
            <v>18420.349999999999</v>
          </cell>
          <cell r="AJ23">
            <v>19286.328000000001</v>
          </cell>
          <cell r="AK23">
            <v>19236.506000000001</v>
          </cell>
          <cell r="AL23">
            <v>1483.4236000000001</v>
          </cell>
          <cell r="AM23">
            <v>1550.1166000000001</v>
          </cell>
          <cell r="AN23">
            <v>16936.926399999997</v>
          </cell>
          <cell r="AO23">
            <v>17736.2114</v>
          </cell>
          <cell r="AP23">
            <v>10773.184999999999</v>
          </cell>
          <cell r="AQ23">
            <v>11722.084000000001</v>
          </cell>
          <cell r="AR23">
            <v>11667.489</v>
          </cell>
          <cell r="AS23">
            <v>6.8865488502541705E-2</v>
          </cell>
          <cell r="AT23">
            <v>4.5853689052336888E-2</v>
          </cell>
          <cell r="AU23">
            <v>0.59273748617135014</v>
          </cell>
          <cell r="AV23">
            <v>0.5992099515710092</v>
          </cell>
          <cell r="AW23">
            <v>0.20592949191016149</v>
          </cell>
          <cell r="AX23">
            <v>0.20474878663802903</v>
          </cell>
          <cell r="AY23">
            <v>0.24481698086147277</v>
          </cell>
          <cell r="AZ23">
            <v>0.27462516464524317</v>
          </cell>
          <cell r="BA23">
            <v>0.27492932657430569</v>
          </cell>
          <cell r="BB23">
            <v>0.25250911091181033</v>
          </cell>
          <cell r="BC23">
            <v>0.25283219574931648</v>
          </cell>
          <cell r="BD23">
            <v>0.16061517313073118</v>
          </cell>
          <cell r="BE23">
            <v>0.16709996118325082</v>
          </cell>
          <cell r="BF23">
            <v>5.8034381982886199E-2</v>
          </cell>
          <cell r="BG23">
            <v>6.0773132208735411E-2</v>
          </cell>
          <cell r="BI23">
            <v>4.9506408537242415</v>
          </cell>
          <cell r="BJ23">
            <v>5.1645856613113681</v>
          </cell>
          <cell r="BK23">
            <v>4.9381531234938549</v>
          </cell>
          <cell r="BL23">
            <v>8.7131078796294936</v>
          </cell>
          <cell r="BM23">
            <v>8.241106661441453</v>
          </cell>
          <cell r="BN23">
            <v>25.079388160509147</v>
          </cell>
          <cell r="BO23">
            <v>24.118106898596224</v>
          </cell>
          <cell r="BP23">
            <v>18.00805632649713</v>
          </cell>
          <cell r="BQ23">
            <v>18.80594470642523</v>
          </cell>
          <cell r="BR23">
            <v>17.961536461113798</v>
          </cell>
          <cell r="BS23">
            <v>20.453066594951967</v>
          </cell>
          <cell r="BT23">
            <v>19.531346112225521</v>
          </cell>
          <cell r="BU23">
            <v>25.013348630540811</v>
          </cell>
          <cell r="BV23">
            <v>27.08975757865478</v>
          </cell>
          <cell r="BW23">
            <v>24.896850252907242</v>
          </cell>
          <cell r="BY23">
            <v>4.3828810075396802</v>
          </cell>
          <cell r="BZ23">
            <v>3.9060499998011902</v>
          </cell>
          <cell r="CA23">
            <v>3.1124316722354801</v>
          </cell>
          <cell r="CB23">
            <v>16.6338177480159</v>
          </cell>
          <cell r="CC23">
            <v>15.313122067594399</v>
          </cell>
          <cell r="CD23">
            <v>12.2601133878282</v>
          </cell>
          <cell r="CE23">
            <v>23.098071849206299</v>
          </cell>
          <cell r="CF23">
            <v>20.776958850894601</v>
          </cell>
          <cell r="CG23">
            <v>16.152975620922799</v>
          </cell>
          <cell r="CI23">
            <v>0.12954032865776388</v>
          </cell>
          <cell r="CJ23">
            <v>0.26742895098020214</v>
          </cell>
          <cell r="CK23">
            <v>0.59060226056897869</v>
          </cell>
          <cell r="CL23">
            <v>8.2617147746803399E-2</v>
          </cell>
          <cell r="CM23">
            <v>0.1759885571999551</v>
          </cell>
          <cell r="CN23">
            <v>0.46883277151216785</v>
          </cell>
          <cell r="CO23">
            <v>8.2919336031086255E-2</v>
          </cell>
          <cell r="CP23">
            <v>0.20389845357294933</v>
          </cell>
          <cell r="CQ23">
            <v>0.548528841840215</v>
          </cell>
        </row>
        <row r="24">
          <cell r="B24" t="str">
            <v>TSM</v>
          </cell>
          <cell r="C24" t="str">
            <v>Taiwan Semiconductor Manufacturing Co., Ltd. Sponsored ADR</v>
          </cell>
          <cell r="D24" t="str">
            <v>Semiconductors</v>
          </cell>
          <cell r="E24">
            <v>5186.5050000000001</v>
          </cell>
          <cell r="F24">
            <v>5186.0086000000001</v>
          </cell>
          <cell r="G24">
            <v>1592363.9406300001</v>
          </cell>
          <cell r="H24">
            <v>1592315.3</v>
          </cell>
          <cell r="I24">
            <v>90267.771901043394</v>
          </cell>
          <cell r="J24">
            <v>33764.819181048602</v>
          </cell>
          <cell r="K24">
            <v>-56502.952719994792</v>
          </cell>
          <cell r="L24">
            <v>1535860.9879100053</v>
          </cell>
          <cell r="M24">
            <v>1196133.72507878</v>
          </cell>
          <cell r="O24">
            <v>307.05</v>
          </cell>
          <cell r="P24">
            <v>141.37</v>
          </cell>
          <cell r="Q24">
            <v>307.05</v>
          </cell>
          <cell r="R24">
            <v>1</v>
          </cell>
          <cell r="S24">
            <v>295.27</v>
          </cell>
          <cell r="T24">
            <v>258.91000000000003</v>
          </cell>
          <cell r="U24">
            <v>211.1</v>
          </cell>
          <cell r="V24">
            <v>3.9895688691705899E-2</v>
          </cell>
          <cell r="W24">
            <v>0.18593333590823069</v>
          </cell>
          <cell r="X24">
            <v>0.4545239223117008</v>
          </cell>
          <cell r="Z24">
            <v>90115.570103717604</v>
          </cell>
          <cell r="AA24">
            <v>122477.14</v>
          </cell>
          <cell r="AB24">
            <v>149666.42000000001</v>
          </cell>
          <cell r="AC24">
            <v>148102.10999999999</v>
          </cell>
          <cell r="AD24">
            <v>72821.42</v>
          </cell>
          <cell r="AE24">
            <v>88814.14</v>
          </cell>
          <cell r="AF24">
            <v>61101.491999999998</v>
          </cell>
          <cell r="AG24">
            <v>74518.36</v>
          </cell>
          <cell r="AH24">
            <v>61836.565609999998</v>
          </cell>
          <cell r="AI24">
            <v>84155.414000000004</v>
          </cell>
          <cell r="AJ24">
            <v>102767.67</v>
          </cell>
          <cell r="AK24">
            <v>101696.83</v>
          </cell>
          <cell r="AL24">
            <v>40009.56</v>
          </cell>
          <cell r="AM24">
            <v>45044.245999999999</v>
          </cell>
          <cell r="AN24">
            <v>44145.854000000007</v>
          </cell>
          <cell r="AO24">
            <v>57723.423999999999</v>
          </cell>
          <cell r="AP24">
            <v>53805.163999999997</v>
          </cell>
          <cell r="AQ24">
            <v>65035.887000000002</v>
          </cell>
          <cell r="AR24">
            <v>64389.74</v>
          </cell>
          <cell r="AS24">
            <v>0.35911185890558284</v>
          </cell>
          <cell r="AT24">
            <v>0.2219947330579406</v>
          </cell>
          <cell r="AU24">
            <v>0.59457152575574512</v>
          </cell>
          <cell r="AV24">
            <v>0.59341394014769644</v>
          </cell>
          <cell r="AW24">
            <v>0.49888078705952799</v>
          </cell>
          <cell r="AX24">
            <v>0.49789632169995107</v>
          </cell>
          <cell r="AY24">
            <v>0.68619180391168622</v>
          </cell>
          <cell r="AZ24">
            <v>0.68711119479112592</v>
          </cell>
          <cell r="BA24">
            <v>0.68664480649700843</v>
          </cell>
          <cell r="BB24">
            <v>0.36044158117996555</v>
          </cell>
          <cell r="BC24">
            <v>0.38568052873851055</v>
          </cell>
          <cell r="BD24">
            <v>0.43930780878782766</v>
          </cell>
          <cell r="BE24">
            <v>0.43453893665659937</v>
          </cell>
          <cell r="BF24">
            <v>2.7724316911355438E-2</v>
          </cell>
          <cell r="BG24">
            <v>3.6251252500054482E-2</v>
          </cell>
          <cell r="BI24">
            <v>8.0764124500237031</v>
          </cell>
          <cell r="BJ24">
            <v>9.7661794280857634</v>
          </cell>
          <cell r="BK24">
            <v>7.9919979717479706</v>
          </cell>
          <cell r="BL24">
            <v>16.425575401836163</v>
          </cell>
          <cell r="BM24">
            <v>13.467829841946113</v>
          </cell>
          <cell r="BN24">
            <v>19.576178681181467</v>
          </cell>
          <cell r="BO24">
            <v>16.051530456102093</v>
          </cell>
          <cell r="BP24">
            <v>11.761760175600163</v>
          </cell>
          <cell r="BQ24">
            <v>14.213390062804276</v>
          </cell>
          <cell r="BR24">
            <v>11.639202534014638</v>
          </cell>
          <cell r="BS24">
            <v>27.09504102194466</v>
          </cell>
          <cell r="BT24">
            <v>20.721808274553844</v>
          </cell>
          <cell r="BU24">
            <v>24.729332654550245</v>
          </cell>
          <cell r="BV24">
            <v>29.594098068356416</v>
          </cell>
          <cell r="BW24">
            <v>24.483640855086669</v>
          </cell>
          <cell r="BY24">
            <v>7.0277267727642299</v>
          </cell>
          <cell r="BZ24">
            <v>6.9628741640657097</v>
          </cell>
          <cell r="CA24">
            <v>6.7815548489728901</v>
          </cell>
          <cell r="CB24">
            <v>10.386351609756099</v>
          </cell>
          <cell r="CC24">
            <v>10.254478071047201</v>
          </cell>
          <cell r="CD24">
            <v>9.9797307119967194</v>
          </cell>
          <cell r="CE24">
            <v>21.624994847222201</v>
          </cell>
          <cell r="CF24">
            <v>21.661147112325999</v>
          </cell>
          <cell r="CG24">
            <v>20.634005809466998</v>
          </cell>
          <cell r="CI24">
            <v>0.14922117936110246</v>
          </cell>
          <cell r="CJ24">
            <v>0.15992509123671783</v>
          </cell>
          <cell r="CK24">
            <v>0.19093815944686021</v>
          </cell>
          <cell r="CL24">
            <v>0.13242461044281573</v>
          </cell>
          <cell r="CM24">
            <v>0.14698769592268834</v>
          </cell>
          <cell r="CN24">
            <v>0.17856488466780474</v>
          </cell>
          <cell r="CO24">
            <v>0.14355322760813549</v>
          </cell>
          <cell r="CP24">
            <v>0.14164464727162729</v>
          </cell>
          <cell r="CQ24">
            <v>0.19847463856021053</v>
          </cell>
        </row>
        <row r="25">
          <cell r="B25" t="str">
            <v>META</v>
          </cell>
          <cell r="C25" t="str">
            <v>Meta Platforms Inc Class A</v>
          </cell>
          <cell r="D25" t="str">
            <v>Internet Software/Services</v>
          </cell>
          <cell r="E25">
            <v>2177.8892000000001</v>
          </cell>
          <cell r="F25">
            <v>2572</v>
          </cell>
          <cell r="G25">
            <v>1665730.08</v>
          </cell>
          <cell r="H25">
            <v>1642981.3</v>
          </cell>
          <cell r="I25">
            <v>44590</v>
          </cell>
          <cell r="J25">
            <v>51060</v>
          </cell>
          <cell r="K25">
            <v>6470</v>
          </cell>
          <cell r="L25">
            <v>1672200.08</v>
          </cell>
          <cell r="M25">
            <v>1685111.52</v>
          </cell>
          <cell r="O25">
            <v>647.64</v>
          </cell>
          <cell r="P25">
            <v>484.66</v>
          </cell>
          <cell r="Q25">
            <v>790</v>
          </cell>
          <cell r="R25">
            <v>0.81979746835443035</v>
          </cell>
          <cell r="S25">
            <v>631.76</v>
          </cell>
          <cell r="T25">
            <v>750.9</v>
          </cell>
          <cell r="U25">
            <v>682.87</v>
          </cell>
          <cell r="V25">
            <v>2.5136127643408779E-2</v>
          </cell>
          <cell r="W25">
            <v>-0.13751498202157408</v>
          </cell>
          <cell r="X25">
            <v>-5.1591078829059778E-2</v>
          </cell>
          <cell r="Z25">
            <v>164501</v>
          </cell>
          <cell r="AA25">
            <v>199471</v>
          </cell>
          <cell r="AB25">
            <v>235746.1</v>
          </cell>
          <cell r="AC25">
            <v>233659.03</v>
          </cell>
          <cell r="AD25">
            <v>163180.98000000001</v>
          </cell>
          <cell r="AE25">
            <v>187740</v>
          </cell>
          <cell r="AF25">
            <v>82406.625</v>
          </cell>
          <cell r="AG25">
            <v>86406.164000000004</v>
          </cell>
          <cell r="AH25">
            <v>85267</v>
          </cell>
          <cell r="AI25">
            <v>121285.234</v>
          </cell>
          <cell r="AJ25">
            <v>140366.69</v>
          </cell>
          <cell r="AK25">
            <v>139268.85999999999</v>
          </cell>
          <cell r="AL25">
            <v>69975.88</v>
          </cell>
          <cell r="AM25">
            <v>109282.79</v>
          </cell>
          <cell r="AN25">
            <v>51309.353999999992</v>
          </cell>
          <cell r="AO25">
            <v>31083.900000000009</v>
          </cell>
          <cell r="AP25">
            <v>59426.406000000003</v>
          </cell>
          <cell r="AQ25">
            <v>76701.88</v>
          </cell>
          <cell r="AR25">
            <v>75707.945000000007</v>
          </cell>
          <cell r="AS25">
            <v>0.21258229433255726</v>
          </cell>
          <cell r="AT25">
            <v>0.18185651047019369</v>
          </cell>
          <cell r="AU25">
            <v>0.81806869168951879</v>
          </cell>
          <cell r="AV25">
            <v>0.79636524209732418</v>
          </cell>
          <cell r="AW25">
            <v>0.41312584285434978</v>
          </cell>
          <cell r="AX25">
            <v>0.36652213546692819</v>
          </cell>
          <cell r="AY25">
            <v>0.51833727454544354</v>
          </cell>
          <cell r="AZ25">
            <v>0.60803442104366046</v>
          </cell>
          <cell r="BA25">
            <v>0.59541468554516919</v>
          </cell>
          <cell r="BB25">
            <v>0.25722713577412254</v>
          </cell>
          <cell r="BC25">
            <v>0.13185329470985949</v>
          </cell>
          <cell r="BD25">
            <v>0.29792002847531723</v>
          </cell>
          <cell r="BE25">
            <v>0.32535800168062168</v>
          </cell>
          <cell r="BF25">
            <v>3.1229420566137905E-2</v>
          </cell>
          <cell r="BG25">
            <v>1.8919204984256369E-2</v>
          </cell>
          <cell r="BI25">
            <v>7.2118399190478542</v>
          </cell>
          <cell r="BJ25">
            <v>8.4479023015876997</v>
          </cell>
          <cell r="BK25">
            <v>7.1479932011600615</v>
          </cell>
          <cell r="BL25">
            <v>10.326641744644505</v>
          </cell>
          <cell r="BM25">
            <v>8.9757724512623849</v>
          </cell>
          <cell r="BN25">
            <v>20.448738435775038</v>
          </cell>
          <cell r="BO25">
            <v>19.502214217032016</v>
          </cell>
          <cell r="BP25">
            <v>12.099700679678143</v>
          </cell>
          <cell r="BQ25">
            <v>13.893789577056017</v>
          </cell>
          <cell r="BR25">
            <v>12.00506701411852</v>
          </cell>
          <cell r="BS25">
            <v>32.842189359858246</v>
          </cell>
          <cell r="BT25">
            <v>54.211714746219087</v>
          </cell>
          <cell r="BU25">
            <v>21.701570423024954</v>
          </cell>
          <cell r="BV25">
            <v>27.647327351413445</v>
          </cell>
          <cell r="BW25">
            <v>21.420352408571993</v>
          </cell>
          <cell r="BY25">
            <v>8.3739570785714292</v>
          </cell>
          <cell r="BZ25">
            <v>7.9418105825049796</v>
          </cell>
          <cell r="CA25">
            <v>6.2780771563245903</v>
          </cell>
          <cell r="CB25">
            <v>13.8210379007936</v>
          </cell>
          <cell r="CC25">
            <v>13.2627656023857</v>
          </cell>
          <cell r="CD25">
            <v>11.6205738820207</v>
          </cell>
          <cell r="CE25">
            <v>24.3943347777778</v>
          </cell>
          <cell r="CF25">
            <v>23.575977381709698</v>
          </cell>
          <cell r="CG25">
            <v>21.1694817565633</v>
          </cell>
          <cell r="CI25">
            <v>-0.13877753953353544</v>
          </cell>
          <cell r="CJ25">
            <v>-9.191489218657245E-2</v>
          </cell>
          <cell r="CK25">
            <v>0.14873387814015371</v>
          </cell>
          <cell r="CL25">
            <v>-0.12454471462064498</v>
          </cell>
          <cell r="CM25">
            <v>-8.7693996680326292E-2</v>
          </cell>
          <cell r="CN25">
            <v>4.1230906710962634E-2</v>
          </cell>
          <cell r="CO25">
            <v>-0.11038482415211581</v>
          </cell>
          <cell r="CP25">
            <v>-7.9504952364728432E-2</v>
          </cell>
          <cell r="CQ25">
            <v>2.513470440988419E-2</v>
          </cell>
        </row>
        <row r="26">
          <cell r="B26" t="str">
            <v>TSM</v>
          </cell>
          <cell r="C26" t="str">
            <v>Taiwan Semiconductor Manufacturing Co., Ltd. Sponsored ADR</v>
          </cell>
          <cell r="D26" t="str">
            <v>Semiconductors</v>
          </cell>
          <cell r="E26">
            <v>5186.5050000000001</v>
          </cell>
          <cell r="F26">
            <v>5186.0086000000001</v>
          </cell>
          <cell r="G26">
            <v>1592363.9406300001</v>
          </cell>
          <cell r="H26">
            <v>1592315.3</v>
          </cell>
          <cell r="I26">
            <v>90267.771901043394</v>
          </cell>
          <cell r="J26">
            <v>33764.819181048602</v>
          </cell>
          <cell r="K26">
            <v>-56502.952719994792</v>
          </cell>
          <cell r="L26">
            <v>1535860.9879100053</v>
          </cell>
          <cell r="M26">
            <v>1196133.72507878</v>
          </cell>
          <cell r="O26">
            <v>307.05</v>
          </cell>
          <cell r="P26">
            <v>141.37</v>
          </cell>
          <cell r="Q26">
            <v>307.05</v>
          </cell>
          <cell r="R26">
            <v>1</v>
          </cell>
          <cell r="S26">
            <v>295.27</v>
          </cell>
          <cell r="T26">
            <v>258.91000000000003</v>
          </cell>
          <cell r="U26">
            <v>211.1</v>
          </cell>
          <cell r="V26">
            <v>3.9895688691705899E-2</v>
          </cell>
          <cell r="W26">
            <v>0.18593333590823069</v>
          </cell>
          <cell r="X26">
            <v>0.4545239223117008</v>
          </cell>
          <cell r="Z26">
            <v>90115.570103717604</v>
          </cell>
          <cell r="AA26">
            <v>122477.14</v>
          </cell>
          <cell r="AB26">
            <v>149666.42000000001</v>
          </cell>
          <cell r="AC26">
            <v>148102.10999999999</v>
          </cell>
          <cell r="AD26">
            <v>72821.42</v>
          </cell>
          <cell r="AE26">
            <v>88814.14</v>
          </cell>
          <cell r="AF26">
            <v>61101.491999999998</v>
          </cell>
          <cell r="AG26">
            <v>74518.36</v>
          </cell>
          <cell r="AH26">
            <v>61836.565609999998</v>
          </cell>
          <cell r="AI26">
            <v>84155.414000000004</v>
          </cell>
          <cell r="AJ26">
            <v>102767.67</v>
          </cell>
          <cell r="AK26">
            <v>101696.83</v>
          </cell>
          <cell r="AL26">
            <v>40009.56</v>
          </cell>
          <cell r="AM26">
            <v>45044.245999999999</v>
          </cell>
          <cell r="AN26">
            <v>44145.854000000007</v>
          </cell>
          <cell r="AO26">
            <v>57723.423999999999</v>
          </cell>
          <cell r="AP26">
            <v>53805.163999999997</v>
          </cell>
          <cell r="AQ26">
            <v>65035.887000000002</v>
          </cell>
          <cell r="AR26">
            <v>64389.74</v>
          </cell>
          <cell r="AS26">
            <v>0.35911185890558284</v>
          </cell>
          <cell r="AT26">
            <v>0.2219947330579406</v>
          </cell>
          <cell r="AU26">
            <v>0.59457152575574512</v>
          </cell>
          <cell r="AV26">
            <v>0.59341394014769644</v>
          </cell>
          <cell r="AW26">
            <v>0.49888078705952799</v>
          </cell>
          <cell r="AX26">
            <v>0.49789632169995107</v>
          </cell>
          <cell r="AY26">
            <v>0.68619180391168622</v>
          </cell>
          <cell r="AZ26">
            <v>0.68711119479112592</v>
          </cell>
          <cell r="BA26">
            <v>0.68664480649700843</v>
          </cell>
          <cell r="BB26">
            <v>0.36044158117996555</v>
          </cell>
          <cell r="BC26">
            <v>0.38568052873851055</v>
          </cell>
          <cell r="BD26">
            <v>0.43930780878782766</v>
          </cell>
          <cell r="BE26">
            <v>0.43453893665659937</v>
          </cell>
          <cell r="BF26">
            <v>2.7724316911355438E-2</v>
          </cell>
          <cell r="BG26">
            <v>3.6251252500054482E-2</v>
          </cell>
          <cell r="BI26">
            <v>8.0764124500237031</v>
          </cell>
          <cell r="BJ26">
            <v>9.7661794280857634</v>
          </cell>
          <cell r="BK26">
            <v>7.9919979717479706</v>
          </cell>
          <cell r="BL26">
            <v>16.425575401836163</v>
          </cell>
          <cell r="BM26">
            <v>13.467829841946113</v>
          </cell>
          <cell r="BN26">
            <v>19.576178681181467</v>
          </cell>
          <cell r="BO26">
            <v>16.051530456102093</v>
          </cell>
          <cell r="BP26">
            <v>11.761760175600163</v>
          </cell>
          <cell r="BQ26">
            <v>14.213390062804276</v>
          </cell>
          <cell r="BR26">
            <v>11.639202534014638</v>
          </cell>
          <cell r="BS26">
            <v>27.09504102194466</v>
          </cell>
          <cell r="BT26">
            <v>20.721808274553844</v>
          </cell>
          <cell r="BU26">
            <v>24.729332654550245</v>
          </cell>
          <cell r="BV26">
            <v>29.594098068356416</v>
          </cell>
          <cell r="BW26">
            <v>24.483640855086669</v>
          </cell>
          <cell r="BY26">
            <v>7.0277267727642299</v>
          </cell>
          <cell r="BZ26">
            <v>6.9628741640657097</v>
          </cell>
          <cell r="CA26">
            <v>6.7815548489728901</v>
          </cell>
          <cell r="CB26">
            <v>10.386351609756099</v>
          </cell>
          <cell r="CC26">
            <v>10.254478071047201</v>
          </cell>
          <cell r="CD26">
            <v>9.9797307119967194</v>
          </cell>
          <cell r="CE26">
            <v>21.624994847222201</v>
          </cell>
          <cell r="CF26">
            <v>21.661147112325999</v>
          </cell>
          <cell r="CG26">
            <v>20.634005809466998</v>
          </cell>
          <cell r="CI26">
            <v>0.14922117936110246</v>
          </cell>
          <cell r="CJ26">
            <v>0.15992509123671783</v>
          </cell>
          <cell r="CK26">
            <v>0.19093815944686021</v>
          </cell>
          <cell r="CL26">
            <v>0.13242461044281573</v>
          </cell>
          <cell r="CM26">
            <v>0.14698769592268834</v>
          </cell>
          <cell r="CN26">
            <v>0.17856488466780474</v>
          </cell>
          <cell r="CO26">
            <v>0.14355322760813549</v>
          </cell>
          <cell r="CP26">
            <v>0.14164464727162729</v>
          </cell>
          <cell r="CQ26">
            <v>0.19847463856021053</v>
          </cell>
        </row>
        <row r="27">
          <cell r="B27" t="str">
            <v>NKE</v>
          </cell>
          <cell r="C27" t="str">
            <v>NIKE, Inc. Class B</v>
          </cell>
          <cell r="D27" t="str">
            <v>Apparel/Footwear</v>
          </cell>
          <cell r="E27">
            <v>1189.3136</v>
          </cell>
          <cell r="F27">
            <v>1479</v>
          </cell>
          <cell r="G27">
            <v>96467.774999999994</v>
          </cell>
          <cell r="H27">
            <v>96415.46</v>
          </cell>
          <cell r="I27">
            <v>8575</v>
          </cell>
          <cell r="J27">
            <v>11061</v>
          </cell>
          <cell r="K27">
            <v>2486</v>
          </cell>
          <cell r="L27">
            <v>98953.774999999994</v>
          </cell>
          <cell r="M27">
            <v>98828.06</v>
          </cell>
          <cell r="O27">
            <v>65.224999999999994</v>
          </cell>
          <cell r="P27">
            <v>53.27</v>
          </cell>
          <cell r="Q27">
            <v>81.72</v>
          </cell>
          <cell r="R27">
            <v>0.79815222711698475</v>
          </cell>
          <cell r="S27">
            <v>60.8</v>
          </cell>
          <cell r="T27">
            <v>74.33</v>
          </cell>
          <cell r="U27">
            <v>60.53</v>
          </cell>
          <cell r="V27">
            <v>7.2779605263157743E-2</v>
          </cell>
          <cell r="W27">
            <v>-0.12249428225480974</v>
          </cell>
          <cell r="X27">
            <v>7.7564843879068146E-2</v>
          </cell>
          <cell r="Z27">
            <v>48668.333334000003</v>
          </cell>
          <cell r="AA27">
            <v>46589.84</v>
          </cell>
          <cell r="AB27">
            <v>48205.46</v>
          </cell>
          <cell r="AC27">
            <v>48066.366999999998</v>
          </cell>
          <cell r="AD27">
            <v>19600</v>
          </cell>
          <cell r="AE27">
            <v>20465.032999999999</v>
          </cell>
          <cell r="AF27">
            <v>3319.3789999999999</v>
          </cell>
          <cell r="AG27">
            <v>3849.4259999999999</v>
          </cell>
          <cell r="AH27">
            <v>5898</v>
          </cell>
          <cell r="AI27">
            <v>4059.652</v>
          </cell>
          <cell r="AJ27">
            <v>4502.7025999999996</v>
          </cell>
          <cell r="AK27">
            <v>4427.7285000000002</v>
          </cell>
          <cell r="AL27">
            <v>858.84076000000005</v>
          </cell>
          <cell r="AM27">
            <v>967.87210000000005</v>
          </cell>
          <cell r="AN27">
            <v>3200.81124</v>
          </cell>
          <cell r="AO27">
            <v>3534.8304999999996</v>
          </cell>
          <cell r="AP27">
            <v>2771.0154000000002</v>
          </cell>
          <cell r="AQ27">
            <v>3153.9762999999998</v>
          </cell>
          <cell r="AR27">
            <v>3085.3766999999998</v>
          </cell>
          <cell r="AS27">
            <v>-4.2707304557478176E-2</v>
          </cell>
          <cell r="AT27">
            <v>3.467751767338112E-2</v>
          </cell>
          <cell r="AU27">
            <v>0.42069258018486438</v>
          </cell>
          <cell r="AV27">
            <v>0.42453765610783506</v>
          </cell>
          <cell r="AW27">
            <v>7.1246842659257903E-2</v>
          </cell>
          <cell r="AX27">
            <v>7.9854564192520933E-2</v>
          </cell>
          <cell r="AY27">
            <v>0.12118763055893718</v>
          </cell>
          <cell r="AZ27">
            <v>8.7135993598604342E-2</v>
          </cell>
          <cell r="BA27">
            <v>9.3406485489403057E-2</v>
          </cell>
          <cell r="BB27">
            <v>6.8701915267363023E-2</v>
          </cell>
          <cell r="BC27">
            <v>7.3328425867111316E-2</v>
          </cell>
          <cell r="BD27">
            <v>5.9476817263162965E-2</v>
          </cell>
          <cell r="BE27">
            <v>6.5427781417291733E-2</v>
          </cell>
          <cell r="BF27">
            <v>3.319811200402923E-2</v>
          </cell>
          <cell r="BG27">
            <v>3.6662486493348675E-2</v>
          </cell>
          <cell r="BI27">
            <v>2.0560750930063012</v>
          </cell>
          <cell r="BJ27">
            <v>2.1212363038808464</v>
          </cell>
          <cell r="BK27">
            <v>2.0501424527429051</v>
          </cell>
          <cell r="BL27">
            <v>5.0422479591836735</v>
          </cell>
          <cell r="BM27">
            <v>4.8291180375814688</v>
          </cell>
          <cell r="BN27">
            <v>29.773056948302681</v>
          </cell>
          <cell r="BO27">
            <v>25.67345365257054</v>
          </cell>
          <cell r="BP27">
            <v>22.32026195824789</v>
          </cell>
          <cell r="BQ27">
            <v>24.343973325792458</v>
          </cell>
          <cell r="BR27">
            <v>21.948609264133946</v>
          </cell>
          <cell r="BS27">
            <v>30.875941312927907</v>
          </cell>
          <cell r="BT27">
            <v>27.958358965161132</v>
          </cell>
          <cell r="BU27">
            <v>31.249169671891284</v>
          </cell>
          <cell r="BV27">
            <v>34.794270721122658</v>
          </cell>
          <cell r="BW27">
            <v>30.569494133484774</v>
          </cell>
          <cell r="BY27">
            <v>2.2493045218254002</v>
          </cell>
          <cell r="BZ27">
            <v>2.4672565825049699</v>
          </cell>
          <cell r="CA27">
            <v>3.3757069407319</v>
          </cell>
          <cell r="CB27">
            <v>24.765418611111102</v>
          </cell>
          <cell r="CC27">
            <v>22.0879193976143</v>
          </cell>
          <cell r="CD27">
            <v>23.609042669848801</v>
          </cell>
          <cell r="CE27">
            <v>33.830632809523799</v>
          </cell>
          <cell r="CF27">
            <v>29.480087860834999</v>
          </cell>
          <cell r="CG27">
            <v>30.964258352426398</v>
          </cell>
          <cell r="CI27">
            <v>-8.5906299900329053E-2</v>
          </cell>
          <cell r="CJ27">
            <v>-0.1666553419754998</v>
          </cell>
          <cell r="CK27">
            <v>-0.39092014528947361</v>
          </cell>
          <cell r="CL27">
            <v>-9.8732700272878948E-2</v>
          </cell>
          <cell r="CM27">
            <v>1.0518988069952995E-2</v>
          </cell>
          <cell r="CN27">
            <v>-5.4588435864314722E-2</v>
          </cell>
          <cell r="CO27">
            <v>-7.6305493668028523E-2</v>
          </cell>
          <cell r="CP27">
            <v>6.0009380548914582E-2</v>
          </cell>
          <cell r="CQ27">
            <v>9.2012964180219203E-3</v>
          </cell>
        </row>
        <row r="28">
          <cell r="B28" t="str">
            <v>ADS-DE</v>
          </cell>
          <cell r="C28" t="str">
            <v>adidas AG</v>
          </cell>
          <cell r="D28" t="str">
            <v>Apparel/Footwear</v>
          </cell>
          <cell r="E28">
            <v>180</v>
          </cell>
          <cell r="F28">
            <v>178.68217054263999</v>
          </cell>
          <cell r="G28">
            <v>33709.928139535703</v>
          </cell>
          <cell r="H28">
            <v>33684.82</v>
          </cell>
          <cell r="I28">
            <v>1210.24995088577</v>
          </cell>
          <cell r="J28">
            <v>6379.0747411251104</v>
          </cell>
          <cell r="K28">
            <v>5168.8247902393405</v>
          </cell>
          <cell r="L28">
            <v>38878.752929775044</v>
          </cell>
          <cell r="M28">
            <v>39326.427911607498</v>
          </cell>
          <cell r="O28">
            <v>188.65860000000001</v>
          </cell>
          <cell r="P28">
            <v>174.36275000000001</v>
          </cell>
          <cell r="Q28">
            <v>274.50537000000003</v>
          </cell>
          <cell r="R28">
            <v>0.68726742941312946</v>
          </cell>
          <cell r="S28">
            <v>182.08832000000001</v>
          </cell>
          <cell r="T28">
            <v>209.69662</v>
          </cell>
          <cell r="U28">
            <v>230.87</v>
          </cell>
          <cell r="V28">
            <v>3.6082929426774824E-2</v>
          </cell>
          <cell r="W28">
            <v>-0.10032598522570368</v>
          </cell>
          <cell r="X28">
            <v>-0.18283622818036127</v>
          </cell>
          <cell r="Z28">
            <v>25617.682938575701</v>
          </cell>
          <cell r="AA28">
            <v>29029.521000000001</v>
          </cell>
          <cell r="AB28">
            <v>31374.826000000001</v>
          </cell>
          <cell r="AC28">
            <v>31239.89</v>
          </cell>
          <cell r="AD28">
            <v>14912.383</v>
          </cell>
          <cell r="AE28">
            <v>16352.509</v>
          </cell>
          <cell r="AF28">
            <v>2370.8726000000001</v>
          </cell>
          <cell r="AG28">
            <v>3208.6147000000001</v>
          </cell>
          <cell r="AH28">
            <v>2617.6917100000001</v>
          </cell>
          <cell r="AI28">
            <v>3743.951</v>
          </cell>
          <cell r="AJ28">
            <v>4671.9813999999997</v>
          </cell>
          <cell r="AK28">
            <v>4618.5879999999997</v>
          </cell>
          <cell r="AL28">
            <v>703.88495</v>
          </cell>
          <cell r="AM28">
            <v>768.69569999999999</v>
          </cell>
          <cell r="AN28">
            <v>3040.0660499999999</v>
          </cell>
          <cell r="AO28">
            <v>3903.2856999999995</v>
          </cell>
          <cell r="AP28">
            <v>1581.7248999999999</v>
          </cell>
          <cell r="AQ28">
            <v>2246.9868000000001</v>
          </cell>
          <cell r="AR28">
            <v>2208.7114000000001</v>
          </cell>
          <cell r="AS28">
            <v>0.13318292952586575</v>
          </cell>
          <cell r="AT28">
            <v>8.0790344422148719E-2</v>
          </cell>
          <cell r="AU28">
            <v>0.51369717743534249</v>
          </cell>
          <cell r="AV28">
            <v>0.52119839644688382</v>
          </cell>
          <cell r="AW28">
            <v>8.1671089233611535E-2</v>
          </cell>
          <cell r="AX28">
            <v>0.10226717113905269</v>
          </cell>
          <cell r="AY28">
            <v>0.10218300055772098</v>
          </cell>
          <cell r="AZ28">
            <v>0.12897047112833862</v>
          </cell>
          <cell r="BA28">
            <v>0.1489085995249822</v>
          </cell>
          <cell r="BB28">
            <v>0.10472325912645958</v>
          </cell>
          <cell r="BC28">
            <v>0.12440820229568761</v>
          </cell>
          <cell r="BD28">
            <v>5.4486772275712018E-2</v>
          </cell>
          <cell r="BE28">
            <v>7.1617506340911657E-2</v>
          </cell>
          <cell r="BF28">
            <v>9.0250327892504686E-2</v>
          </cell>
          <cell r="BG28">
            <v>0.11587669757475325</v>
          </cell>
          <cell r="BI28">
            <v>1.2588529572801792</v>
          </cell>
          <cell r="BJ28">
            <v>1.3547046784412149</v>
          </cell>
          <cell r="BK28">
            <v>1.2534389166527169</v>
          </cell>
          <cell r="BL28">
            <v>2.6371658984085573</v>
          </cell>
          <cell r="BM28">
            <v>2.4049170626726148</v>
          </cell>
          <cell r="BN28">
            <v>16.58732228446501</v>
          </cell>
          <cell r="BO28">
            <v>12.256513040224959</v>
          </cell>
          <cell r="BP28">
            <v>8.5148161974195364</v>
          </cell>
          <cell r="BQ28">
            <v>10.503991080975018</v>
          </cell>
          <cell r="BR28">
            <v>8.417505239127772</v>
          </cell>
          <cell r="BS28">
            <v>12.936043909837913</v>
          </cell>
          <cell r="BT28">
            <v>10.07521122822434</v>
          </cell>
          <cell r="BU28">
            <v>15.250892443440097</v>
          </cell>
          <cell r="BV28">
            <v>21.296257016627859</v>
          </cell>
          <cell r="BW28">
            <v>14.991107201875863</v>
          </cell>
          <cell r="BY28">
            <v>1.5399133074509801</v>
          </cell>
          <cell r="BZ28">
            <v>1.6568309121568601</v>
          </cell>
          <cell r="CA28">
            <v>1.78958052339859</v>
          </cell>
          <cell r="CB28">
            <v>11.3317943901961</v>
          </cell>
          <cell r="CC28">
            <v>13.8974561588235</v>
          </cell>
          <cell r="CD28">
            <v>14.910675936570099</v>
          </cell>
          <cell r="CE28">
            <v>22.7790884137255</v>
          </cell>
          <cell r="CF28">
            <v>32.635909559803899</v>
          </cell>
          <cell r="CG28">
            <v>80.5004398008994</v>
          </cell>
          <cell r="CI28">
            <v>-0.18251699547686895</v>
          </cell>
          <cell r="CJ28">
            <v>-0.24020432740393149</v>
          </cell>
          <cell r="CK28">
            <v>-0.29656534544224178</v>
          </cell>
          <cell r="CL28">
            <v>-0.2485906552640702</v>
          </cell>
          <cell r="CM28">
            <v>-0.38731116687038614</v>
          </cell>
          <cell r="CN28">
            <v>-0.42894498990914298</v>
          </cell>
          <cell r="CO28">
            <v>-0.3304871482806705</v>
          </cell>
          <cell r="CP28">
            <v>-0.53269595825133986</v>
          </cell>
          <cell r="CQ28">
            <v>-0.81054895499751412</v>
          </cell>
        </row>
        <row r="29">
          <cell r="B29" t="str">
            <v>PUM-DE</v>
          </cell>
          <cell r="C29" t="str">
            <v>PUMA SE</v>
          </cell>
          <cell r="D29" t="str">
            <v>Apparel/Footwear</v>
          </cell>
          <cell r="E29">
            <v>148.00792000000001</v>
          </cell>
          <cell r="F29">
            <v>147.47</v>
          </cell>
          <cell r="G29">
            <v>3476.6123285599997</v>
          </cell>
          <cell r="H29">
            <v>3428.9072000000001</v>
          </cell>
          <cell r="I29">
            <v>311.37498736381502</v>
          </cell>
          <cell r="J29">
            <v>3188.1273706197699</v>
          </cell>
          <cell r="K29">
            <v>2876.752383255955</v>
          </cell>
          <cell r="L29">
            <v>6353.3647118159552</v>
          </cell>
          <cell r="M29">
            <v>6353.3647118159597</v>
          </cell>
          <cell r="O29">
            <v>23.575047999999999</v>
          </cell>
          <cell r="P29">
            <v>17.899982000000001</v>
          </cell>
          <cell r="Q29">
            <v>49.206851999999998</v>
          </cell>
          <cell r="R29">
            <v>0.47910091870945126</v>
          </cell>
          <cell r="S29">
            <v>18.728421999999998</v>
          </cell>
          <cell r="T29">
            <v>22.277338</v>
          </cell>
          <cell r="U29">
            <v>24.379871000000001</v>
          </cell>
          <cell r="V29">
            <v>0.25878453614511687</v>
          </cell>
          <cell r="W29">
            <v>5.825247163732028E-2</v>
          </cell>
          <cell r="X29">
            <v>-3.30117825479882E-2</v>
          </cell>
          <cell r="Z29">
            <v>9537.4840183258093</v>
          </cell>
          <cell r="AA29">
            <v>8638.9220000000005</v>
          </cell>
          <cell r="AB29">
            <v>8373.6049999999996</v>
          </cell>
          <cell r="AC29">
            <v>8388.8700000000008</v>
          </cell>
          <cell r="AD29">
            <v>3889.1194</v>
          </cell>
          <cell r="AE29">
            <v>3854.9713999999999</v>
          </cell>
          <cell r="AF29">
            <v>-212.292</v>
          </cell>
          <cell r="AG29">
            <v>18.561668000000001</v>
          </cell>
          <cell r="AH29">
            <v>1014.8423</v>
          </cell>
          <cell r="AI29">
            <v>309.08240000000001</v>
          </cell>
          <cell r="AJ29">
            <v>416.50806</v>
          </cell>
          <cell r="AK29">
            <v>410.32740000000001</v>
          </cell>
          <cell r="AL29">
            <v>295.77050000000003</v>
          </cell>
          <cell r="AM29">
            <v>260.6628</v>
          </cell>
          <cell r="AN29">
            <v>13.31189999999998</v>
          </cell>
          <cell r="AO29">
            <v>155.84526</v>
          </cell>
          <cell r="AP29">
            <v>-589.85155999999995</v>
          </cell>
          <cell r="AQ29">
            <v>-174.96025</v>
          </cell>
          <cell r="AR29">
            <v>-198.83070000000001</v>
          </cell>
          <cell r="AS29">
            <v>-9.4213737773952366E-2</v>
          </cell>
          <cell r="AT29">
            <v>-3.0711817979141465E-2</v>
          </cell>
          <cell r="AU29">
            <v>0.4501857291916746</v>
          </cell>
          <cell r="AV29">
            <v>0.46037177535840301</v>
          </cell>
          <cell r="AW29">
            <v>-2.4573899382353492E-2</v>
          </cell>
          <cell r="AX29">
            <v>2.2166877945639903E-3</v>
          </cell>
          <cell r="AY29">
            <v>0.10640566191775841</v>
          </cell>
          <cell r="AZ29">
            <v>3.5777889880242005E-2</v>
          </cell>
          <cell r="BA29">
            <v>4.9740590820799409E-2</v>
          </cell>
          <cell r="BB29">
            <v>1.5409214251500337E-3</v>
          </cell>
          <cell r="BC29">
            <v>1.8611489316727983E-2</v>
          </cell>
          <cell r="BD29">
            <v>-6.8278375473236119E-2</v>
          </cell>
          <cell r="BE29">
            <v>-2.0894256416441905E-2</v>
          </cell>
          <cell r="BF29">
            <v>3.8822572976019822E-3</v>
          </cell>
          <cell r="BG29">
            <v>4.5450416389221614E-2</v>
          </cell>
          <cell r="BI29">
            <v>0.7573564391647456</v>
          </cell>
          <cell r="BJ29">
            <v>0.73543489706423548</v>
          </cell>
          <cell r="BK29">
            <v>0.75873709254448474</v>
          </cell>
          <cell r="BL29">
            <v>1.6336255224809915</v>
          </cell>
          <cell r="BM29">
            <v>1.6480964584629498</v>
          </cell>
          <cell r="BN29" t="str">
            <v>--</v>
          </cell>
          <cell r="BO29" t="str">
            <v>--</v>
          </cell>
          <cell r="BP29">
            <v>15.483647233443245</v>
          </cell>
          <cell r="BQ29">
            <v>20.555569362137604</v>
          </cell>
          <cell r="BR29">
            <v>15.253881789984952</v>
          </cell>
          <cell r="BS29" t="str">
            <v>--</v>
          </cell>
          <cell r="BT29">
            <v>40.767134732336167</v>
          </cell>
          <cell r="BU29" t="str">
            <v>--</v>
          </cell>
          <cell r="BV29" t="str">
            <v>--</v>
          </cell>
          <cell r="BW29" t="str">
            <v>--</v>
          </cell>
          <cell r="BY29">
            <v>0.66802261690196096</v>
          </cell>
          <cell r="BZ29">
            <v>0.77112837041176396</v>
          </cell>
          <cell r="CA29">
            <v>1.2348282372200501</v>
          </cell>
          <cell r="CB29">
            <v>8.5074246878431392</v>
          </cell>
          <cell r="CC29">
            <v>7.95063604392156</v>
          </cell>
          <cell r="CD29">
            <v>10.6164076245106</v>
          </cell>
          <cell r="CE29">
            <v>16.589485768987402</v>
          </cell>
          <cell r="CF29">
            <v>16.317839187651298</v>
          </cell>
          <cell r="CG29">
            <v>24.317699024152599</v>
          </cell>
          <cell r="CI29">
            <v>0.13372873912126138</v>
          </cell>
          <cell r="CJ29">
            <v>-1.7859453465140285E-2</v>
          </cell>
          <cell r="CK29">
            <v>-0.38667061836084138</v>
          </cell>
          <cell r="CL29">
            <v>0.82001578639525574</v>
          </cell>
          <cell r="CM29">
            <v>0.94747277424185961</v>
          </cell>
          <cell r="CN29">
            <v>0.45846389674181487</v>
          </cell>
          <cell r="CO29" t="str">
            <v>--</v>
          </cell>
          <cell r="CP29" t="str">
            <v>--</v>
          </cell>
          <cell r="CQ29" t="str">
            <v>--</v>
          </cell>
        </row>
        <row r="30">
          <cell r="B30" t="str">
            <v>UAA</v>
          </cell>
          <cell r="C30" t="str">
            <v>Under Armour, Inc. Class A</v>
          </cell>
          <cell r="D30" t="str">
            <v>Apparel/Footwear</v>
          </cell>
          <cell r="E30">
            <v>188.83438000000001</v>
          </cell>
          <cell r="F30">
            <v>428.35</v>
          </cell>
          <cell r="G30">
            <v>1884.7400000000002</v>
          </cell>
          <cell r="H30">
            <v>1865.1116999999999</v>
          </cell>
          <cell r="I30">
            <v>1003.836</v>
          </cell>
          <cell r="J30">
            <v>1899.7819999999999</v>
          </cell>
          <cell r="K30">
            <v>895.94599999999991</v>
          </cell>
          <cell r="L30">
            <v>2780.6860000000001</v>
          </cell>
          <cell r="M30">
            <v>2789.2530000000002</v>
          </cell>
          <cell r="O30">
            <v>4.4000000000000004</v>
          </cell>
          <cell r="P30">
            <v>4.17</v>
          </cell>
          <cell r="Q30">
            <v>10.3</v>
          </cell>
          <cell r="R30">
            <v>0.42718446601941751</v>
          </cell>
          <cell r="S30">
            <v>4.4800000000000004</v>
          </cell>
          <cell r="T30">
            <v>5.03</v>
          </cell>
          <cell r="U30">
            <v>6.6</v>
          </cell>
          <cell r="V30">
            <v>-1.7857142857142905E-2</v>
          </cell>
          <cell r="W30">
            <v>-0.125248508946322</v>
          </cell>
          <cell r="X30">
            <v>-0.33333333333333326</v>
          </cell>
          <cell r="Z30">
            <v>5321.1239999999998</v>
          </cell>
          <cell r="AA30">
            <v>4995.8783999999996</v>
          </cell>
          <cell r="AB30">
            <v>4998.4620000000004</v>
          </cell>
          <cell r="AC30">
            <v>4994.0550000000003</v>
          </cell>
          <cell r="AD30">
            <v>2318.8854999999999</v>
          </cell>
          <cell r="AE30">
            <v>2302.4202</v>
          </cell>
          <cell r="AF30">
            <v>121.17310000000001</v>
          </cell>
          <cell r="AG30">
            <v>137.77109999999999</v>
          </cell>
          <cell r="AH30">
            <v>368.83300000000003</v>
          </cell>
          <cell r="AI30">
            <v>246.43343999999999</v>
          </cell>
          <cell r="AJ30">
            <v>259.16565000000003</v>
          </cell>
          <cell r="AK30">
            <v>256.01391999999998</v>
          </cell>
          <cell r="AL30">
            <v>145.90646000000001</v>
          </cell>
          <cell r="AM30">
            <v>158.00291000000001</v>
          </cell>
          <cell r="AN30">
            <v>100.52697999999998</v>
          </cell>
          <cell r="AO30">
            <v>101.16274000000001</v>
          </cell>
          <cell r="AP30">
            <v>48.909190000000002</v>
          </cell>
          <cell r="AQ30">
            <v>70.7988</v>
          </cell>
          <cell r="AR30">
            <v>66.973969999999994</v>
          </cell>
          <cell r="AS30">
            <v>-6.1123476919538122E-2</v>
          </cell>
          <cell r="AT30">
            <v>5.1714629403321055E-4</v>
          </cell>
          <cell r="AU30">
            <v>0.46415971613720625</v>
          </cell>
          <cell r="AV30">
            <v>0.46062572847407857</v>
          </cell>
          <cell r="AW30">
            <v>2.4254613563052297E-2</v>
          </cell>
          <cell r="AX30">
            <v>2.7562698285992768E-2</v>
          </cell>
          <cell r="AY30">
            <v>6.9314866558268518E-2</v>
          </cell>
          <cell r="AZ30">
            <v>4.9327349520756951E-2</v>
          </cell>
          <cell r="BA30">
            <v>5.1849078776631696E-2</v>
          </cell>
          <cell r="BB30">
            <v>2.0121982952987803E-2</v>
          </cell>
          <cell r="BC30">
            <v>2.023877344671221E-2</v>
          </cell>
          <cell r="BD30">
            <v>9.7899080169765555E-3</v>
          </cell>
          <cell r="BE30">
            <v>1.4164116882353011E-2</v>
          </cell>
          <cell r="BF30">
            <v>5.3898637813488588E-2</v>
          </cell>
          <cell r="BG30">
            <v>5.4239507478292058E-2</v>
          </cell>
          <cell r="BI30">
            <v>0.55851467394732335</v>
          </cell>
          <cell r="BJ30">
            <v>0.55831082678073196</v>
          </cell>
          <cell r="BK30">
            <v>0.55802224764337505</v>
          </cell>
          <cell r="BL30">
            <v>1.202842054944067</v>
          </cell>
          <cell r="BM30">
            <v>1.211443940597811</v>
          </cell>
          <cell r="BN30">
            <v>23.018747560308352</v>
          </cell>
          <cell r="BO30">
            <v>20.245559482358786</v>
          </cell>
          <cell r="BP30">
            <v>10.894927119587873</v>
          </cell>
          <cell r="BQ30">
            <v>11.318484212207565</v>
          </cell>
          <cell r="BR30">
            <v>10.762433215975959</v>
          </cell>
          <cell r="BS30">
            <v>27.746312482479834</v>
          </cell>
          <cell r="BT30">
            <v>27.571940024558447</v>
          </cell>
          <cell r="BU30">
            <v>27.8483073349243</v>
          </cell>
          <cell r="BV30">
            <v>38.134176828526499</v>
          </cell>
          <cell r="BW30">
            <v>26.343832098849131</v>
          </cell>
          <cell r="BY30">
            <v>0.67725532285714296</v>
          </cell>
          <cell r="BZ30">
            <v>0.70935697262425501</v>
          </cell>
          <cell r="CA30">
            <v>1.03735547996022</v>
          </cell>
          <cell r="CB30">
            <v>11.0311215436508</v>
          </cell>
          <cell r="CC30">
            <v>10.847941232803199</v>
          </cell>
          <cell r="CD30">
            <v>13.367881953778801</v>
          </cell>
          <cell r="CE30">
            <v>24.093956047618999</v>
          </cell>
          <cell r="CF30">
            <v>22.8487683976143</v>
          </cell>
          <cell r="CG30">
            <v>75.639514866100299</v>
          </cell>
          <cell r="CI30">
            <v>-0.17532626898949633</v>
          </cell>
          <cell r="CJ30">
            <v>-0.21264652988310373</v>
          </cell>
          <cell r="CK30">
            <v>-0.46159760589615728</v>
          </cell>
          <cell r="CL30">
            <v>-1.2346380512987531E-2</v>
          </cell>
          <cell r="CM30">
            <v>4.3313183373996367E-3</v>
          </cell>
          <cell r="CN30">
            <v>-0.1849922704839474</v>
          </cell>
          <cell r="CO30">
            <v>0.15582128895251768</v>
          </cell>
          <cell r="CP30">
            <v>0.21880999668376067</v>
          </cell>
          <cell r="CQ30">
            <v>-0.6318285834563806</v>
          </cell>
        </row>
        <row r="31">
          <cell r="B31" t="str">
            <v>UNH</v>
          </cell>
          <cell r="C31" t="str">
            <v>UnitedHealth Group Incorporated</v>
          </cell>
          <cell r="D31" t="str">
            <v>Managed Health Care</v>
          </cell>
          <cell r="E31">
            <v>905.83860000000004</v>
          </cell>
          <cell r="F31">
            <v>908</v>
          </cell>
          <cell r="G31">
            <v>295081.74919999996</v>
          </cell>
          <cell r="H31">
            <v>294379.46999999997</v>
          </cell>
          <cell r="I31" t="e">
            <v>#N/A</v>
          </cell>
          <cell r="J31">
            <v>80136</v>
          </cell>
          <cell r="K31" t="e">
            <v>#N/A</v>
          </cell>
          <cell r="L31" t="e">
            <v>#N/A</v>
          </cell>
          <cell r="M31">
            <v>357775.06</v>
          </cell>
          <cell r="O31">
            <v>324.97989999999999</v>
          </cell>
          <cell r="P31">
            <v>237.77</v>
          </cell>
          <cell r="Q31">
            <v>599.47</v>
          </cell>
          <cell r="R31">
            <v>0.542112032295194</v>
          </cell>
          <cell r="S31">
            <v>321.58</v>
          </cell>
          <cell r="T31">
            <v>353.61</v>
          </cell>
          <cell r="U31">
            <v>313.52999999999997</v>
          </cell>
          <cell r="V31">
            <v>1.0572485851110258E-2</v>
          </cell>
          <cell r="W31">
            <v>-8.0965187636096392E-2</v>
          </cell>
          <cell r="X31">
            <v>3.6519312346505961E-2</v>
          </cell>
          <cell r="Z31">
            <v>400278</v>
          </cell>
          <cell r="AA31">
            <v>447439.7</v>
          </cell>
          <cell r="AB31">
            <v>453200.7</v>
          </cell>
          <cell r="AC31">
            <v>452869.22</v>
          </cell>
          <cell r="AD31">
            <v>82192</v>
          </cell>
          <cell r="AE31">
            <v>84958</v>
          </cell>
          <cell r="AF31">
            <v>22264.53</v>
          </cell>
          <cell r="AG31">
            <v>24113.84</v>
          </cell>
          <cell r="AH31">
            <v>38280.112999999998</v>
          </cell>
          <cell r="AI31">
            <v>26429.491999999998</v>
          </cell>
          <cell r="AJ31">
            <v>28395.455000000002</v>
          </cell>
          <cell r="AK31">
            <v>28282.344000000001</v>
          </cell>
          <cell r="AL31">
            <v>3689.4956000000002</v>
          </cell>
          <cell r="AM31">
            <v>3906.1732999999999</v>
          </cell>
          <cell r="AN31">
            <v>22739.996399999996</v>
          </cell>
          <cell r="AO31">
            <v>24489.281700000003</v>
          </cell>
          <cell r="AP31">
            <v>14025.509</v>
          </cell>
          <cell r="AQ31">
            <v>15338.258</v>
          </cell>
          <cell r="AR31">
            <v>15262.729499999999</v>
          </cell>
          <cell r="AS31">
            <v>0.11782236345739716</v>
          </cell>
          <cell r="AT31">
            <v>1.2875477969433557E-2</v>
          </cell>
          <cell r="AU31">
            <v>0.18369402625649892</v>
          </cell>
          <cell r="AV31">
            <v>0.18746219941849163</v>
          </cell>
          <cell r="AW31">
            <v>4.9759844734385432E-2</v>
          </cell>
          <cell r="AX31">
            <v>5.320786132942866E-2</v>
          </cell>
          <cell r="AY31">
            <v>9.5633816997186955E-2</v>
          </cell>
          <cell r="AZ31">
            <v>5.9068276686221624E-2</v>
          </cell>
          <cell r="BA31">
            <v>6.2655364389331267E-2</v>
          </cell>
          <cell r="BB31">
            <v>5.0822482671966741E-2</v>
          </cell>
          <cell r="BC31">
            <v>5.4036283924539401E-2</v>
          </cell>
          <cell r="BD31">
            <v>3.1346143402116527E-2</v>
          </cell>
          <cell r="BE31">
            <v>3.3844294591777992E-2</v>
          </cell>
          <cell r="BF31">
            <v>7.7247222437080945E-2</v>
          </cell>
          <cell r="BG31">
            <v>8.3189502651119004E-2</v>
          </cell>
          <cell r="BI31">
            <v>0.79001849584743256</v>
          </cell>
          <cell r="BJ31">
            <v>0.79960508645075523</v>
          </cell>
          <cell r="BK31">
            <v>0.7894406606168084</v>
          </cell>
          <cell r="BL31">
            <v>4.3529182888845632</v>
          </cell>
          <cell r="BM31">
            <v>4.2111991807716755</v>
          </cell>
          <cell r="BN31">
            <v>16.06928419328861</v>
          </cell>
          <cell r="BO31">
            <v>14.836917720280137</v>
          </cell>
          <cell r="BP31">
            <v>12.650120513349247</v>
          </cell>
          <cell r="BQ31">
            <v>13.536963177347488</v>
          </cell>
          <cell r="BR31">
            <v>12.599729780699057</v>
          </cell>
          <cell r="BS31">
            <v>15.733294487240995</v>
          </cell>
          <cell r="BT31">
            <v>14.609455041713206</v>
          </cell>
          <cell r="BU31">
            <v>19.287472139239576</v>
          </cell>
          <cell r="BV31">
            <v>20.988861794605814</v>
          </cell>
          <cell r="BW31">
            <v>19.19249695760757</v>
          </cell>
          <cell r="BY31">
            <v>0.92708099876984096</v>
          </cell>
          <cell r="BZ31">
            <v>1.1295199695626199</v>
          </cell>
          <cell r="CA31">
            <v>1.3108267957756601</v>
          </cell>
          <cell r="CB31">
            <v>12.034964160714299</v>
          </cell>
          <cell r="CC31">
            <v>12.665101640159101</v>
          </cell>
          <cell r="CD31">
            <v>13.8980336583134</v>
          </cell>
          <cell r="CE31">
            <v>16.593439406746</v>
          </cell>
          <cell r="CF31">
            <v>17.477892116302201</v>
          </cell>
          <cell r="CG31">
            <v>19.175907999602199</v>
          </cell>
          <cell r="CI31">
            <v>-0.14784307207706648</v>
          </cell>
          <cell r="CJ31">
            <v>-0.30057146652011058</v>
          </cell>
          <cell r="CK31">
            <v>-0.3973128269933236</v>
          </cell>
          <cell r="CL31">
            <v>5.1114099254487178E-2</v>
          </cell>
          <cell r="CM31">
            <v>-1.1828666863873405E-3</v>
          </cell>
          <cell r="CN31">
            <v>-8.9790626188164913E-2</v>
          </cell>
          <cell r="CO31">
            <v>0.16235529394818093</v>
          </cell>
          <cell r="CP31">
            <v>0.10353536976289734</v>
          </cell>
          <cell r="CQ31">
            <v>5.8179325662017778E-3</v>
          </cell>
        </row>
        <row r="32">
          <cell r="B32" t="str">
            <v>ELV</v>
          </cell>
          <cell r="C32" t="str">
            <v>Elevance Health, Inc.</v>
          </cell>
          <cell r="D32" t="str">
            <v>Managed Health Care</v>
          </cell>
          <cell r="E32">
            <v>222.23876999999999</v>
          </cell>
          <cell r="F32">
            <v>223.7</v>
          </cell>
          <cell r="G32">
            <v>74720.27399999999</v>
          </cell>
          <cell r="H32">
            <v>74232.266000000003</v>
          </cell>
          <cell r="I32" t="e">
            <v>#N/A</v>
          </cell>
          <cell r="J32">
            <v>32102</v>
          </cell>
          <cell r="K32" t="e">
            <v>#N/A</v>
          </cell>
          <cell r="L32" t="e">
            <v>#N/A</v>
          </cell>
          <cell r="M32">
            <v>97969.834000000003</v>
          </cell>
          <cell r="O32">
            <v>334.02</v>
          </cell>
          <cell r="P32">
            <v>274.66000000000003</v>
          </cell>
          <cell r="Q32">
            <v>452.69</v>
          </cell>
          <cell r="R32">
            <v>0.73785592789767829</v>
          </cell>
          <cell r="S32">
            <v>303.77999999999997</v>
          </cell>
          <cell r="T32">
            <v>314.89</v>
          </cell>
          <cell r="U32">
            <v>384.55</v>
          </cell>
          <cell r="V32">
            <v>9.9545723879123083E-2</v>
          </cell>
          <cell r="W32">
            <v>6.07513734955063E-2</v>
          </cell>
          <cell r="X32">
            <v>-0.13140033805746987</v>
          </cell>
          <cell r="Z32">
            <v>176810</v>
          </cell>
          <cell r="AA32">
            <v>198536.66</v>
          </cell>
          <cell r="AB32">
            <v>205688.6</v>
          </cell>
          <cell r="AC32">
            <v>205277.13</v>
          </cell>
          <cell r="AD32">
            <v>49995</v>
          </cell>
          <cell r="AE32">
            <v>50126</v>
          </cell>
          <cell r="AF32">
            <v>8437.6049999999996</v>
          </cell>
          <cell r="AG32">
            <v>8105.2560000000003</v>
          </cell>
          <cell r="AH32">
            <v>10738.832</v>
          </cell>
          <cell r="AI32">
            <v>10013.77</v>
          </cell>
          <cell r="AJ32">
            <v>9373.1875</v>
          </cell>
          <cell r="AK32">
            <v>9410.0429999999997</v>
          </cell>
          <cell r="AL32">
            <v>-1161.9648</v>
          </cell>
          <cell r="AM32">
            <v>1366.69</v>
          </cell>
          <cell r="AN32">
            <v>11175.7348</v>
          </cell>
          <cell r="AO32">
            <v>8006.4974999999995</v>
          </cell>
          <cell r="AP32">
            <v>6754.9629999999997</v>
          </cell>
          <cell r="AQ32">
            <v>5776.7744000000002</v>
          </cell>
          <cell r="AR32">
            <v>5833.0537000000004</v>
          </cell>
          <cell r="AS32">
            <v>0.12288139811096666</v>
          </cell>
          <cell r="AT32">
            <v>3.6023271470367213E-2</v>
          </cell>
          <cell r="AU32">
            <v>0.25181747290399664</v>
          </cell>
          <cell r="AV32">
            <v>0.24369848401904626</v>
          </cell>
          <cell r="AW32">
            <v>4.2498977266969232E-2</v>
          </cell>
          <cell r="AX32">
            <v>3.9405470210794373E-2</v>
          </cell>
          <cell r="AY32">
            <v>6.0736564673943783E-2</v>
          </cell>
          <cell r="AZ32">
            <v>5.0437888901727269E-2</v>
          </cell>
          <cell r="BA32">
            <v>4.5569795798114238E-2</v>
          </cell>
          <cell r="BB32">
            <v>5.6290534957120768E-2</v>
          </cell>
          <cell r="BC32">
            <v>3.8925334218814264E-2</v>
          </cell>
          <cell r="BD32">
            <v>3.4023756620062004E-2</v>
          </cell>
          <cell r="BE32">
            <v>2.8085048952640058E-2</v>
          </cell>
          <cell r="BF32">
            <v>0.15055090464300255</v>
          </cell>
          <cell r="BG32">
            <v>0.10785737700638155</v>
          </cell>
          <cell r="BI32">
            <v>0.47725644839247316</v>
          </cell>
          <cell r="BJ32">
            <v>0.49345966634071514</v>
          </cell>
          <cell r="BK32">
            <v>0.47630172017311606</v>
          </cell>
          <cell r="BL32">
            <v>1.9595926392639265</v>
          </cell>
          <cell r="BM32">
            <v>1.9544714120416551</v>
          </cell>
          <cell r="BN32">
            <v>11.611095091557379</v>
          </cell>
          <cell r="BO32">
            <v>12.087197986096923</v>
          </cell>
          <cell r="BP32">
            <v>10.411199396219549</v>
          </cell>
          <cell r="BQ32">
            <v>9.7835115046580849</v>
          </cell>
          <cell r="BR32">
            <v>10.45213637303212</v>
          </cell>
          <cell r="BS32">
            <v>8.7662991072408047</v>
          </cell>
          <cell r="BT32">
            <v>12.236291087332509</v>
          </cell>
          <cell r="BU32">
            <v>12.726141369142546</v>
          </cell>
          <cell r="BV32">
            <v>10.989292761485149</v>
          </cell>
          <cell r="BW32">
            <v>12.850123764570069</v>
          </cell>
          <cell r="BY32">
            <v>0.53071366130952402</v>
          </cell>
          <cell r="BZ32">
            <v>0.65031478433399603</v>
          </cell>
          <cell r="CA32">
            <v>0.73584112252187694</v>
          </cell>
          <cell r="CB32">
            <v>9.3896113678571496</v>
          </cell>
          <cell r="CC32">
            <v>10.016413641550701</v>
          </cell>
          <cell r="CD32">
            <v>10.874775236833701</v>
          </cell>
          <cell r="CE32">
            <v>10.9247520138889</v>
          </cell>
          <cell r="CF32">
            <v>11.9960533846918</v>
          </cell>
          <cell r="CG32">
            <v>13.416659566428001</v>
          </cell>
          <cell r="CI32">
            <v>-0.10072703383053372</v>
          </cell>
          <cell r="CJ32">
            <v>-0.26611471876463078</v>
          </cell>
          <cell r="CK32">
            <v>-0.3514137307835985</v>
          </cell>
          <cell r="CL32">
            <v>0.1087998201778122</v>
          </cell>
          <cell r="CM32">
            <v>3.9413882932227695E-2</v>
          </cell>
          <cell r="CN32">
            <v>-4.2628544546280289E-2</v>
          </cell>
          <cell r="CO32">
            <v>0.16489064035169831</v>
          </cell>
          <cell r="CP32">
            <v>6.0860681512339143E-2</v>
          </cell>
          <cell r="CQ32">
            <v>-5.1467222065715412E-2</v>
          </cell>
        </row>
        <row r="33">
          <cell r="B33" t="str">
            <v>CI</v>
          </cell>
          <cell r="C33" t="str">
            <v>Cigna Group</v>
          </cell>
          <cell r="D33" t="str">
            <v>Managed Health Care</v>
          </cell>
          <cell r="E33">
            <v>267.12581999999998</v>
          </cell>
          <cell r="F33">
            <v>267.52999999999997</v>
          </cell>
          <cell r="G33">
            <v>70338.987599999993</v>
          </cell>
          <cell r="H33">
            <v>70232.77</v>
          </cell>
          <cell r="I33" t="e">
            <v>#N/A</v>
          </cell>
          <cell r="J33">
            <v>34040</v>
          </cell>
          <cell r="K33" t="e">
            <v>#N/A</v>
          </cell>
          <cell r="L33" t="e">
            <v>#N/A</v>
          </cell>
          <cell r="M33">
            <v>98777.038352999996</v>
          </cell>
          <cell r="O33">
            <v>262.92</v>
          </cell>
          <cell r="P33">
            <v>244.41</v>
          </cell>
          <cell r="Q33">
            <v>340.04</v>
          </cell>
          <cell r="R33">
            <v>0.77320315257028582</v>
          </cell>
          <cell r="S33">
            <v>258.16000000000003</v>
          </cell>
          <cell r="T33">
            <v>305.87</v>
          </cell>
          <cell r="U33">
            <v>317.39999999999998</v>
          </cell>
          <cell r="V33">
            <v>1.8438177874186445E-2</v>
          </cell>
          <cell r="W33">
            <v>-0.14041913231111247</v>
          </cell>
          <cell r="X33">
            <v>-0.17164461247637042</v>
          </cell>
          <cell r="Z33">
            <v>244384</v>
          </cell>
          <cell r="AA33">
            <v>272147.09999999998</v>
          </cell>
          <cell r="AB33">
            <v>285766.8</v>
          </cell>
          <cell r="AC33">
            <v>284983.21999999997</v>
          </cell>
          <cell r="AD33">
            <v>14443</v>
          </cell>
          <cell r="AE33">
            <v>14661</v>
          </cell>
          <cell r="AF33">
            <v>9697.866</v>
          </cell>
          <cell r="AG33">
            <v>9918.5969999999998</v>
          </cell>
          <cell r="AH33">
            <v>13011.37</v>
          </cell>
          <cell r="AI33">
            <v>12634.776</v>
          </cell>
          <cell r="AJ33">
            <v>12766.132</v>
          </cell>
          <cell r="AK33">
            <v>12758.574000000001</v>
          </cell>
          <cell r="AL33">
            <v>1229.3334</v>
          </cell>
          <cell r="AM33">
            <v>1386.1666</v>
          </cell>
          <cell r="AN33">
            <v>11405.4426</v>
          </cell>
          <cell r="AO33">
            <v>11379.965399999999</v>
          </cell>
          <cell r="AP33">
            <v>7939.6390000000001</v>
          </cell>
          <cell r="AQ33">
            <v>7906.6090000000004</v>
          </cell>
          <cell r="AR33">
            <v>7908.5092999999997</v>
          </cell>
          <cell r="AS33">
            <v>0.11360440945397388</v>
          </cell>
          <cell r="AT33">
            <v>5.0045361497513818E-2</v>
          </cell>
          <cell r="AU33">
            <v>5.3070563676776275E-2</v>
          </cell>
          <cell r="AV33">
            <v>5.1304070311876677E-2</v>
          </cell>
          <cell r="AW33">
            <v>3.5634647585809295E-2</v>
          </cell>
          <cell r="AX33">
            <v>3.4708710039094814E-2</v>
          </cell>
          <cell r="AY33">
            <v>5.324149698834621E-2</v>
          </cell>
          <cell r="AZ33">
            <v>4.6426274613986337E-2</v>
          </cell>
          <cell r="BA33">
            <v>4.4673251056455823E-2</v>
          </cell>
          <cell r="BB33">
            <v>4.1909109448529859E-2</v>
          </cell>
          <cell r="BC33">
            <v>3.9822559513561409E-2</v>
          </cell>
          <cell r="BD33">
            <v>2.9174071669328831E-2</v>
          </cell>
          <cell r="BE33">
            <v>2.7668046113124411E-2</v>
          </cell>
          <cell r="BF33">
            <v>0.1623948848949002</v>
          </cell>
          <cell r="BG33">
            <v>0.16203213115473017</v>
          </cell>
          <cell r="BI33">
            <v>0.34660650670239462</v>
          </cell>
          <cell r="BJ33">
            <v>0.36295458725446644</v>
          </cell>
          <cell r="BK33">
            <v>0.34565610264383406</v>
          </cell>
          <cell r="BL33">
            <v>6.8390942569410784</v>
          </cell>
          <cell r="BM33">
            <v>6.7374011563331289</v>
          </cell>
          <cell r="BN33">
            <v>10.185440627144157</v>
          </cell>
          <cell r="BO33">
            <v>9.9587712206676002</v>
          </cell>
          <cell r="BP33">
            <v>7.7420124187076071</v>
          </cell>
          <cell r="BQ33">
            <v>7.8178701666733144</v>
          </cell>
          <cell r="BR33">
            <v>7.7374288745408553</v>
          </cell>
          <cell r="BS33">
            <v>8.66051777359346</v>
          </cell>
          <cell r="BT33">
            <v>8.6799067379414012</v>
          </cell>
          <cell r="BU33">
            <v>8.880658457340374</v>
          </cell>
          <cell r="BV33">
            <v>8.8458392125888849</v>
          </cell>
          <cell r="BW33">
            <v>8.8827928635398568</v>
          </cell>
          <cell r="BY33">
            <v>0.40716238194444399</v>
          </cell>
          <cell r="BZ33">
            <v>0.456676332544732</v>
          </cell>
          <cell r="CA33">
            <v>0.53869032599045197</v>
          </cell>
          <cell r="CB33">
            <v>8.2386664702380994</v>
          </cell>
          <cell r="CC33">
            <v>8.6623785922465206</v>
          </cell>
          <cell r="CD33">
            <v>9.1276527053301706</v>
          </cell>
          <cell r="CE33">
            <v>9.6286372123015909</v>
          </cell>
          <cell r="CF33">
            <v>10.416180650099401</v>
          </cell>
          <cell r="CG33">
            <v>10.662184891408099</v>
          </cell>
          <cell r="CI33">
            <v>-0.14872659638363162</v>
          </cell>
          <cell r="CJ33">
            <v>-0.24102371416752999</v>
          </cell>
          <cell r="CK33">
            <v>-0.35657558716111404</v>
          </cell>
          <cell r="CL33">
            <v>-6.0283305960332045E-2</v>
          </cell>
          <cell r="CM33">
            <v>-0.10624866643010855</v>
          </cell>
          <cell r="CN33">
            <v>-0.15180685893246215</v>
          </cell>
          <cell r="CO33">
            <v>-7.7682722743525501E-2</v>
          </cell>
          <cell r="CP33">
            <v>-0.14741700862728158</v>
          </cell>
          <cell r="CQ33">
            <v>-0.16708830809183695</v>
          </cell>
        </row>
        <row r="34">
          <cell r="B34" t="str">
            <v>CNC</v>
          </cell>
          <cell r="C34" t="str">
            <v>Centene Corporation</v>
          </cell>
          <cell r="D34" t="str">
            <v>Managed Health Care</v>
          </cell>
          <cell r="E34">
            <v>491.51799999999997</v>
          </cell>
          <cell r="F34">
            <v>491.14100000000002</v>
          </cell>
          <cell r="G34">
            <v>18548.185435500003</v>
          </cell>
          <cell r="H34">
            <v>18562.421999999999</v>
          </cell>
          <cell r="I34" t="e">
            <v>#N/A</v>
          </cell>
          <cell r="J34">
            <v>17583</v>
          </cell>
          <cell r="K34" t="e">
            <v>#N/A</v>
          </cell>
          <cell r="L34" t="e">
            <v>#N/A</v>
          </cell>
          <cell r="M34">
            <v>19197.129799999999</v>
          </cell>
          <cell r="O34">
            <v>37.765500000000003</v>
          </cell>
          <cell r="P34">
            <v>25.21</v>
          </cell>
          <cell r="Q34">
            <v>65.89</v>
          </cell>
          <cell r="R34">
            <v>0.57315981180755804</v>
          </cell>
          <cell r="S34">
            <v>34.25</v>
          </cell>
          <cell r="T34">
            <v>34.08</v>
          </cell>
          <cell r="U34">
            <v>55.22</v>
          </cell>
          <cell r="V34">
            <v>0.10264233576642345</v>
          </cell>
          <cell r="W34">
            <v>0.10814260563380307</v>
          </cell>
          <cell r="X34">
            <v>-0.31609018471568262</v>
          </cell>
          <cell r="Z34">
            <v>163071</v>
          </cell>
          <cell r="AA34">
            <v>193573.13</v>
          </cell>
          <cell r="AB34">
            <v>193821.27</v>
          </cell>
          <cell r="AC34">
            <v>193806.98</v>
          </cell>
          <cell r="AD34" t="e">
            <v>#N/A</v>
          </cell>
          <cell r="AE34" t="e">
            <v>#N/A</v>
          </cell>
          <cell r="AF34">
            <v>830.12919999999997</v>
          </cell>
          <cell r="AG34">
            <v>1030.098</v>
          </cell>
          <cell r="AH34">
            <v>4275.8975</v>
          </cell>
          <cell r="AI34">
            <v>1119.5809999999999</v>
          </cell>
          <cell r="AJ34">
            <v>2040.84</v>
          </cell>
          <cell r="AK34">
            <v>1987.8359</v>
          </cell>
          <cell r="AL34">
            <v>763.14215000000002</v>
          </cell>
          <cell r="AM34">
            <v>877.60440000000006</v>
          </cell>
          <cell r="AN34">
            <v>356.43884999999989</v>
          </cell>
          <cell r="AO34">
            <v>1163.2356</v>
          </cell>
          <cell r="AP34">
            <v>1000.7492999999999</v>
          </cell>
          <cell r="AQ34">
            <v>1364.6560999999999</v>
          </cell>
          <cell r="AR34">
            <v>1343.7190000000001</v>
          </cell>
          <cell r="AS34">
            <v>0.18704815693777554</v>
          </cell>
          <cell r="AT34">
            <v>1.2818927916284917E-3</v>
          </cell>
          <cell r="AU34" t="str">
            <v>--</v>
          </cell>
          <cell r="AV34" t="str">
            <v>--</v>
          </cell>
          <cell r="AW34">
            <v>4.2884526380288415E-3</v>
          </cell>
          <cell r="AX34">
            <v>5.3146798594395752E-3</v>
          </cell>
          <cell r="AY34">
            <v>2.6221078548607661E-2</v>
          </cell>
          <cell r="AZ34">
            <v>5.7837624467817405E-3</v>
          </cell>
          <cell r="BA34">
            <v>1.0529494518326086E-2</v>
          </cell>
          <cell r="BB34">
            <v>1.8413653279254196E-3</v>
          </cell>
          <cell r="BC34">
            <v>6.0015889896913796E-3</v>
          </cell>
          <cell r="BD34">
            <v>5.1698771415226892E-3</v>
          </cell>
          <cell r="BE34">
            <v>7.040796399693388E-3</v>
          </cell>
          <cell r="BF34">
            <v>1.9202173617214387E-2</v>
          </cell>
          <cell r="BG34">
            <v>6.2666154233536983E-2</v>
          </cell>
          <cell r="BI34">
            <v>9.9052829779402149E-2</v>
          </cell>
          <cell r="BJ34">
            <v>9.9172492587168468E-2</v>
          </cell>
          <cell r="BK34">
            <v>9.9045526840268877E-2</v>
          </cell>
          <cell r="BL34" t="str">
            <v>--</v>
          </cell>
          <cell r="BM34" t="str">
            <v>--</v>
          </cell>
          <cell r="BN34">
            <v>23.125472275881876</v>
          </cell>
          <cell r="BO34">
            <v>18.636216942465669</v>
          </cell>
          <cell r="BP34">
            <v>9.6573010880827734</v>
          </cell>
          <cell r="BQ34">
            <v>17.146709170662955</v>
          </cell>
          <cell r="BR34">
            <v>9.406484486779954</v>
          </cell>
          <cell r="BS34">
            <v>53.858129662353036</v>
          </cell>
          <cell r="BT34">
            <v>16.503217233035166</v>
          </cell>
          <cell r="BU34">
            <v>13.814214132567894</v>
          </cell>
          <cell r="BV34">
            <v>18.54852359127306</v>
          </cell>
          <cell r="BW34">
            <v>13.602270931115905</v>
          </cell>
          <cell r="BY34">
            <v>0.15373198442063499</v>
          </cell>
          <cell r="BZ34">
            <v>0.20789354819880701</v>
          </cell>
          <cell r="CA34">
            <v>0.30594427004295899</v>
          </cell>
          <cell r="CB34">
            <v>8.2324661638888799</v>
          </cell>
          <cell r="CC34">
            <v>8.3468818703777306</v>
          </cell>
          <cell r="CD34">
            <v>8.8814583687350694</v>
          </cell>
          <cell r="CE34">
            <v>9.3712613690476108</v>
          </cell>
          <cell r="CF34">
            <v>9.8174771411530806</v>
          </cell>
          <cell r="CG34">
            <v>11.3820684081146</v>
          </cell>
          <cell r="CI34">
            <v>-0.35567845459941527</v>
          </cell>
          <cell r="CJ34">
            <v>-0.52354062625994202</v>
          </cell>
          <cell r="CK34">
            <v>-0.67623897723106996</v>
          </cell>
          <cell r="CL34">
            <v>0.17307510238473012</v>
          </cell>
          <cell r="CM34">
            <v>0.15699505971871885</v>
          </cell>
          <cell r="CN34">
            <v>8.7355329174188645E-2</v>
          </cell>
          <cell r="CO34">
            <v>0.47410402810820496</v>
          </cell>
          <cell r="CP34">
            <v>0.40710428289781486</v>
          </cell>
          <cell r="CQ34">
            <v>0.2136822269245322</v>
          </cell>
        </row>
        <row r="35">
          <cell r="B35" t="str">
            <v>HUM</v>
          </cell>
          <cell r="C35" t="str">
            <v>Humana Inc.</v>
          </cell>
          <cell r="D35" t="str">
            <v>Managed Health Care</v>
          </cell>
          <cell r="E35">
            <v>120.27307</v>
          </cell>
          <cell r="F35">
            <v>120.745</v>
          </cell>
          <cell r="G35">
            <v>30505.016800000001</v>
          </cell>
          <cell r="H35">
            <v>30385.771000000001</v>
          </cell>
          <cell r="I35" t="e">
            <v>#N/A</v>
          </cell>
          <cell r="J35">
            <v>12607</v>
          </cell>
          <cell r="K35" t="e">
            <v>#N/A</v>
          </cell>
          <cell r="L35" t="e">
            <v>#N/A</v>
          </cell>
          <cell r="M35">
            <v>37787.035425000002</v>
          </cell>
          <cell r="O35">
            <v>252.64</v>
          </cell>
          <cell r="P35">
            <v>220.41</v>
          </cell>
          <cell r="Q35">
            <v>312</v>
          </cell>
          <cell r="R35">
            <v>0.80974358974358973</v>
          </cell>
          <cell r="S35">
            <v>238.42</v>
          </cell>
          <cell r="T35">
            <v>278.72000000000003</v>
          </cell>
          <cell r="U35">
            <v>235.26</v>
          </cell>
          <cell r="V35">
            <v>5.9642647428906903E-2</v>
          </cell>
          <cell r="W35">
            <v>-9.3570608495981755E-2</v>
          </cell>
          <cell r="X35">
            <v>7.3875711978236724E-2</v>
          </cell>
          <cell r="Z35">
            <v>117811</v>
          </cell>
          <cell r="AA35">
            <v>129085.55</v>
          </cell>
          <cell r="AB35">
            <v>143665.70000000001</v>
          </cell>
          <cell r="AC35">
            <v>142826.84</v>
          </cell>
          <cell r="AD35">
            <v>18958.900000000001</v>
          </cell>
          <cell r="AE35">
            <v>19015.900000000001</v>
          </cell>
          <cell r="AF35">
            <v>3340.9920000000002</v>
          </cell>
          <cell r="AG35">
            <v>2708.0770000000002</v>
          </cell>
          <cell r="AH35">
            <v>3733.1370000000002</v>
          </cell>
          <cell r="AI35">
            <v>4041.3809000000001</v>
          </cell>
          <cell r="AJ35">
            <v>3411.4702000000002</v>
          </cell>
          <cell r="AK35">
            <v>3447.7116999999998</v>
          </cell>
          <cell r="AL35">
            <v>553.48860000000002</v>
          </cell>
          <cell r="AM35">
            <v>545.40374999999995</v>
          </cell>
          <cell r="AN35">
            <v>3487.8923</v>
          </cell>
          <cell r="AO35">
            <v>2866.0664500000003</v>
          </cell>
          <cell r="AP35">
            <v>1991.8417999999999</v>
          </cell>
          <cell r="AQ35">
            <v>1466.9063000000001</v>
          </cell>
          <cell r="AR35">
            <v>1497.1079</v>
          </cell>
          <cell r="AS35">
            <v>9.5700316608805736E-2</v>
          </cell>
          <cell r="AT35">
            <v>0.11294951293928723</v>
          </cell>
          <cell r="AU35">
            <v>0.14687081551730616</v>
          </cell>
          <cell r="AV35">
            <v>0.13236214350398182</v>
          </cell>
          <cell r="AW35">
            <v>2.5881998411131223E-2</v>
          </cell>
          <cell r="AX35">
            <v>1.8849850729854099E-2</v>
          </cell>
          <cell r="AY35">
            <v>3.1687507957661003E-2</v>
          </cell>
          <cell r="AZ35">
            <v>3.1307771474034081E-2</v>
          </cell>
          <cell r="BA35">
            <v>2.3745892025723605E-2</v>
          </cell>
          <cell r="BB35">
            <v>2.7020005724885551E-2</v>
          </cell>
          <cell r="BC35">
            <v>1.9949552676804556E-2</v>
          </cell>
          <cell r="BD35">
            <v>1.5430401001506364E-2</v>
          </cell>
          <cell r="BE35">
            <v>1.021055338887431E-2</v>
          </cell>
          <cell r="BF35">
            <v>0.11478702646709212</v>
          </cell>
          <cell r="BG35">
            <v>9.4322650229938229E-2</v>
          </cell>
          <cell r="BI35">
            <v>0.26456536758077126</v>
          </cell>
          <cell r="BJ35">
            <v>0.29272862396294552</v>
          </cell>
          <cell r="BK35">
            <v>0.26302057780667198</v>
          </cell>
          <cell r="BL35">
            <v>1.9931027340721243</v>
          </cell>
          <cell r="BM35">
            <v>1.9871284254229356</v>
          </cell>
          <cell r="BN35">
            <v>11.310124485482156</v>
          </cell>
          <cell r="BO35">
            <v>13.953456797941859</v>
          </cell>
          <cell r="BP35">
            <v>10.960033411436346</v>
          </cell>
          <cell r="BQ35">
            <v>9.3500306850561898</v>
          </cell>
          <cell r="BR35">
            <v>11.076466511417863</v>
          </cell>
          <cell r="BS35">
            <v>10.833773572939739</v>
          </cell>
          <cell r="BT35">
            <v>13.184284483355226</v>
          </cell>
          <cell r="BU35">
            <v>20.296313311819411</v>
          </cell>
          <cell r="BV35">
            <v>15.255112629928743</v>
          </cell>
          <cell r="BW35">
            <v>20.714186720719653</v>
          </cell>
          <cell r="BY35">
            <v>0.31437708408730203</v>
          </cell>
          <cell r="BZ35">
            <v>0.37248908906560702</v>
          </cell>
          <cell r="CA35">
            <v>0.53707093716786103</v>
          </cell>
          <cell r="CB35">
            <v>10.2955055654762</v>
          </cell>
          <cell r="CC35">
            <v>10.818142089463199</v>
          </cell>
          <cell r="CD35">
            <v>11.5716883886237</v>
          </cell>
          <cell r="CE35">
            <v>17.1549498492063</v>
          </cell>
          <cell r="CF35">
            <v>17.370758100397602</v>
          </cell>
          <cell r="CG35">
            <v>17.553730489657902</v>
          </cell>
          <cell r="CI35">
            <v>-0.15844576156415435</v>
          </cell>
          <cell r="CJ35">
            <v>-0.28973659807207663</v>
          </cell>
          <cell r="CK35">
            <v>-0.5073921352439863</v>
          </cell>
          <cell r="CL35">
            <v>6.4545431181980861E-2</v>
          </cell>
          <cell r="CM35">
            <v>1.3116052719565063E-2</v>
          </cell>
          <cell r="CN35">
            <v>-5.2857885266654914E-2</v>
          </cell>
          <cell r="CO35">
            <v>0.18311702979175126</v>
          </cell>
          <cell r="CP35">
            <v>0.16841839570345796</v>
          </cell>
          <cell r="CQ35">
            <v>0.15623931470164432</v>
          </cell>
        </row>
        <row r="36">
          <cell r="B36" t="str">
            <v>MOH</v>
          </cell>
          <cell r="C36" t="str">
            <v>Molina Healthcare, Inc.</v>
          </cell>
          <cell r="D36" t="str">
            <v>Managed Health Care</v>
          </cell>
          <cell r="E36">
            <v>51.4</v>
          </cell>
          <cell r="F36">
            <v>52.5</v>
          </cell>
          <cell r="G36">
            <v>8277.6749999999993</v>
          </cell>
          <cell r="H36">
            <v>8104.2383</v>
          </cell>
          <cell r="I36" t="e">
            <v>#N/A</v>
          </cell>
          <cell r="J36">
            <v>3852</v>
          </cell>
          <cell r="K36" t="e">
            <v>#N/A</v>
          </cell>
          <cell r="L36" t="e">
            <v>#N/A</v>
          </cell>
          <cell r="M36">
            <v>7926</v>
          </cell>
          <cell r="O36">
            <v>157.66999999999999</v>
          </cell>
          <cell r="P36">
            <v>134.51</v>
          </cell>
          <cell r="Q36">
            <v>353.24</v>
          </cell>
          <cell r="R36">
            <v>0.44635375382176418</v>
          </cell>
          <cell r="S36">
            <v>140.9</v>
          </cell>
          <cell r="T36">
            <v>188.44</v>
          </cell>
          <cell r="U36">
            <v>298.14</v>
          </cell>
          <cell r="V36">
            <v>0.11902058197303034</v>
          </cell>
          <cell r="W36">
            <v>-0.16328804924644458</v>
          </cell>
          <cell r="X36">
            <v>-0.47115449117864094</v>
          </cell>
          <cell r="Z36">
            <v>40650</v>
          </cell>
          <cell r="AA36">
            <v>44880.61</v>
          </cell>
          <cell r="AB36">
            <v>46850.82</v>
          </cell>
          <cell r="AC36">
            <v>46737.464999999997</v>
          </cell>
          <cell r="AD36" t="e">
            <v>#N/A</v>
          </cell>
          <cell r="AE36" t="e">
            <v>#N/A</v>
          </cell>
          <cell r="AF36">
            <v>1094.9315999999999</v>
          </cell>
          <cell r="AG36">
            <v>1069.9413</v>
          </cell>
          <cell r="AH36">
            <v>2000.1876999999999</v>
          </cell>
          <cell r="AI36">
            <v>1253.8103000000001</v>
          </cell>
          <cell r="AJ36">
            <v>1222.9373000000001</v>
          </cell>
          <cell r="AK36">
            <v>1224.7135000000001</v>
          </cell>
          <cell r="AL36">
            <v>131.64859000000001</v>
          </cell>
          <cell r="AM36">
            <v>143.44470000000001</v>
          </cell>
          <cell r="AN36">
            <v>1122.1617100000001</v>
          </cell>
          <cell r="AO36">
            <v>1079.4926</v>
          </cell>
          <cell r="AP36">
            <v>772.42534999999998</v>
          </cell>
          <cell r="AQ36">
            <v>694.33954000000006</v>
          </cell>
          <cell r="AR36">
            <v>698.83214999999996</v>
          </cell>
          <cell r="AS36">
            <v>0.1040740467404675</v>
          </cell>
          <cell r="AT36">
            <v>4.3898913138658235E-2</v>
          </cell>
          <cell r="AU36" t="str">
            <v>--</v>
          </cell>
          <cell r="AV36" t="str">
            <v>--</v>
          </cell>
          <cell r="AW36">
            <v>2.4396540064852056E-2</v>
          </cell>
          <cell r="AX36">
            <v>2.2837194738533923E-2</v>
          </cell>
          <cell r="AY36">
            <v>4.9205109471094709E-2</v>
          </cell>
          <cell r="AZ36">
            <v>2.7936569935212558E-2</v>
          </cell>
          <cell r="BA36">
            <v>2.6102793931888493E-2</v>
          </cell>
          <cell r="BB36">
            <v>2.5003263324629502E-2</v>
          </cell>
          <cell r="BC36">
            <v>2.3041060967556173E-2</v>
          </cell>
          <cell r="BD36">
            <v>1.7210669596513951E-2</v>
          </cell>
          <cell r="BE36">
            <v>1.4820221716503577E-2</v>
          </cell>
          <cell r="BF36">
            <v>0.13846603079280134</v>
          </cell>
          <cell r="BG36">
            <v>0.13320099434884583</v>
          </cell>
          <cell r="BI36">
            <v>0.16958557765167626</v>
          </cell>
          <cell r="BJ36">
            <v>0.17660187773740152</v>
          </cell>
          <cell r="BK36">
            <v>0.16917526736992011</v>
          </cell>
          <cell r="BL36" t="str">
            <v>--</v>
          </cell>
          <cell r="BM36" t="str">
            <v>--</v>
          </cell>
          <cell r="BN36">
            <v>7.2388083420005422</v>
          </cell>
          <cell r="BO36">
            <v>7.4078830305924264</v>
          </cell>
          <cell r="BP36">
            <v>6.4717176711124678</v>
          </cell>
          <cell r="BQ36">
            <v>6.3215304579967153</v>
          </cell>
          <cell r="BR36">
            <v>6.4811172248977931</v>
          </cell>
          <cell r="BS36">
            <v>7.0631531350325609</v>
          </cell>
          <cell r="BT36">
            <v>7.3423384282578681</v>
          </cell>
          <cell r="BU36">
            <v>11.59683094144996</v>
          </cell>
          <cell r="BV36">
            <v>10.491937246751418</v>
          </cell>
          <cell r="BW36">
            <v>11.671866332140612</v>
          </cell>
          <cell r="BY36">
            <v>0.27946430424603202</v>
          </cell>
          <cell r="BZ36">
            <v>0.35943358707753498</v>
          </cell>
          <cell r="CA36">
            <v>0.43779729849642002</v>
          </cell>
          <cell r="CB36">
            <v>6.5441708051587302</v>
          </cell>
          <cell r="CC36">
            <v>7.4194866023856898</v>
          </cell>
          <cell r="CD36">
            <v>8.6257819961018303</v>
          </cell>
          <cell r="CE36">
            <v>10.8040192035714</v>
          </cell>
          <cell r="CF36">
            <v>12.3610068534791</v>
          </cell>
          <cell r="CG36">
            <v>14.691104069053299</v>
          </cell>
          <cell r="CI36">
            <v>-0.39317624800347251</v>
          </cell>
          <cell r="CJ36">
            <v>-0.52818661430464986</v>
          </cell>
          <cell r="CK36">
            <v>-0.61263904954620685</v>
          </cell>
          <cell r="CL36">
            <v>-1.1071400213018334E-2</v>
          </cell>
          <cell r="CM36">
            <v>-0.12774050039641194</v>
          </cell>
          <cell r="CN36">
            <v>-0.249723946879579</v>
          </cell>
          <cell r="CO36">
            <v>7.3381185551436801E-2</v>
          </cell>
          <cell r="CP36">
            <v>-6.1821494081127915E-2</v>
          </cell>
          <cell r="CQ36">
            <v>-0.21062223186624907</v>
          </cell>
        </row>
        <row r="37">
          <cell r="B37" t="str">
            <v>CVS</v>
          </cell>
          <cell r="C37" t="str">
            <v>CVS Health Corporation</v>
          </cell>
          <cell r="D37" t="str">
            <v>Drugstore Chains</v>
          </cell>
          <cell r="E37">
            <v>1269.4324999999999</v>
          </cell>
          <cell r="F37">
            <v>1269</v>
          </cell>
          <cell r="G37">
            <v>100219.27499999999</v>
          </cell>
          <cell r="H37">
            <v>100253.234</v>
          </cell>
          <cell r="I37">
            <v>11289</v>
          </cell>
          <cell r="J37">
            <v>81752</v>
          </cell>
          <cell r="K37">
            <v>70463</v>
          </cell>
          <cell r="L37">
            <v>170682.27499999999</v>
          </cell>
          <cell r="M37">
            <v>170159.98</v>
          </cell>
          <cell r="O37">
            <v>78.974999999999994</v>
          </cell>
          <cell r="P37">
            <v>43.78</v>
          </cell>
          <cell r="Q37">
            <v>83.04</v>
          </cell>
          <cell r="R37">
            <v>0.95104768786127158</v>
          </cell>
          <cell r="S37">
            <v>77.540000000000006</v>
          </cell>
          <cell r="T37">
            <v>74.67</v>
          </cell>
          <cell r="U37">
            <v>67.459999999999994</v>
          </cell>
          <cell r="V37">
            <v>1.8506577250451128E-2</v>
          </cell>
          <cell r="W37">
            <v>5.7653676175170698E-2</v>
          </cell>
          <cell r="X37">
            <v>0.17069374444115026</v>
          </cell>
          <cell r="Z37">
            <v>372692</v>
          </cell>
          <cell r="AA37">
            <v>399017.38</v>
          </cell>
          <cell r="AB37">
            <v>411664.3</v>
          </cell>
          <cell r="AC37">
            <v>410936.7</v>
          </cell>
          <cell r="AD37">
            <v>55149.58</v>
          </cell>
          <cell r="AE37">
            <v>57226.3</v>
          </cell>
          <cell r="AF37">
            <v>14254.508</v>
          </cell>
          <cell r="AG37">
            <v>15296.366</v>
          </cell>
          <cell r="AH37">
            <v>14518</v>
          </cell>
          <cell r="AI37">
            <v>16773.451000000001</v>
          </cell>
          <cell r="AJ37">
            <v>17804.099999999999</v>
          </cell>
          <cell r="AK37">
            <v>17744.8</v>
          </cell>
          <cell r="AL37">
            <v>2972.4373000000001</v>
          </cell>
          <cell r="AM37">
            <v>3052.5365999999999</v>
          </cell>
          <cell r="AN37">
            <v>13801.013700000001</v>
          </cell>
          <cell r="AO37">
            <v>14751.563399999999</v>
          </cell>
          <cell r="AP37">
            <v>-354.00555000000003</v>
          </cell>
          <cell r="AQ37">
            <v>7513.0969999999998</v>
          </cell>
          <cell r="AR37">
            <v>7060.4690000000001</v>
          </cell>
          <cell r="AS37">
            <v>7.063575284685486E-2</v>
          </cell>
          <cell r="AT37">
            <v>3.1695160747133411E-2</v>
          </cell>
          <cell r="AU37">
            <v>0.13821347832016742</v>
          </cell>
          <cell r="AV37">
            <v>0.13901205423934018</v>
          </cell>
          <cell r="AW37">
            <v>3.5724027860641057E-2</v>
          </cell>
          <cell r="AX37">
            <v>3.7157377989784399E-2</v>
          </cell>
          <cell r="AY37">
            <v>3.89544181254226E-2</v>
          </cell>
          <cell r="AZ37">
            <v>4.2036893230064314E-2</v>
          </cell>
          <cell r="BA37">
            <v>4.3249074549335464E-2</v>
          </cell>
          <cell r="BB37">
            <v>3.458750017355134E-2</v>
          </cell>
          <cell r="BC37">
            <v>3.5833963255983092E-2</v>
          </cell>
          <cell r="BD37">
            <v>-8.8719330972500507E-4</v>
          </cell>
          <cell r="BE37">
            <v>1.8250542978830081E-2</v>
          </cell>
          <cell r="BF37">
            <v>0.13766153119808586</v>
          </cell>
          <cell r="BG37">
            <v>0.14714301785017728</v>
          </cell>
          <cell r="BI37">
            <v>0.41407832398517824</v>
          </cell>
          <cell r="BJ37">
            <v>0.42644753970365906</v>
          </cell>
          <cell r="BK37">
            <v>0.41334645729542252</v>
          </cell>
          <cell r="BL37">
            <v>3.0854265798579066</v>
          </cell>
          <cell r="BM37">
            <v>2.973457658454242</v>
          </cell>
          <cell r="BN37">
            <v>11.937274860696702</v>
          </cell>
          <cell r="BO37">
            <v>11.124209501786241</v>
          </cell>
          <cell r="BP37">
            <v>9.5892870023894332</v>
          </cell>
          <cell r="BQ37">
            <v>10.144601728052265</v>
          </cell>
          <cell r="BR37">
            <v>9.5573480265781487</v>
          </cell>
          <cell r="BS37">
            <v>12.329527649117543</v>
          </cell>
          <cell r="BT37">
            <v>11.535047193709653</v>
          </cell>
          <cell r="BU37">
            <v>14.199231524138126</v>
          </cell>
          <cell r="BV37" t="str">
            <v>--</v>
          </cell>
          <cell r="BW37">
            <v>13.343796040434457</v>
          </cell>
          <cell r="BY37">
            <v>0.38701455178571398</v>
          </cell>
          <cell r="BZ37">
            <v>0.39568364974155101</v>
          </cell>
          <cell r="CA37">
            <v>0.49821932727923601</v>
          </cell>
          <cell r="CB37">
            <v>9.22483740277778</v>
          </cell>
          <cell r="CC37">
            <v>8.7217747936381809</v>
          </cell>
          <cell r="CD37">
            <v>8.8634765051710502</v>
          </cell>
          <cell r="CE37">
            <v>10.1551865281746</v>
          </cell>
          <cell r="CF37">
            <v>9.3186563829025797</v>
          </cell>
          <cell r="CG37">
            <v>9.8219012369132805</v>
          </cell>
          <cell r="CI37">
            <v>6.9929598446854202E-2</v>
          </cell>
          <cell r="CJ37">
            <v>4.6488335455968643E-2</v>
          </cell>
          <cell r="CK37">
            <v>-0.16888345892470658</v>
          </cell>
          <cell r="CL37">
            <v>3.950742801189211E-2</v>
          </cell>
          <cell r="CM37">
            <v>9.9465100771007231E-2</v>
          </cell>
          <cell r="CN37">
            <v>8.188778937868646E-2</v>
          </cell>
          <cell r="CO37">
            <v>0.3982245904340318</v>
          </cell>
          <cell r="CP37">
            <v>0.52374236592629275</v>
          </cell>
          <cell r="CQ37">
            <v>0.44567036275763905</v>
          </cell>
        </row>
        <row r="38">
          <cell r="B38" t="str">
            <v>ALKS</v>
          </cell>
          <cell r="C38" t="str">
            <v>Alkermes Public Limited Company</v>
          </cell>
          <cell r="D38" t="str">
            <v>Pharmaceuticals: Major</v>
          </cell>
          <cell r="E38">
            <v>165.11751000000001</v>
          </cell>
          <cell r="F38">
            <v>168.51</v>
          </cell>
          <cell r="G38">
            <v>4755.3521999999994</v>
          </cell>
          <cell r="H38">
            <v>4659.63</v>
          </cell>
          <cell r="I38">
            <v>1111.114</v>
          </cell>
          <cell r="J38">
            <v>71.597999999999999</v>
          </cell>
          <cell r="K38">
            <v>-1039.5160000000001</v>
          </cell>
          <cell r="L38">
            <v>3715.8361999999993</v>
          </cell>
          <cell r="M38">
            <v>3733.5297500000001</v>
          </cell>
          <cell r="O38">
            <v>28.22</v>
          </cell>
          <cell r="P38">
            <v>26.13</v>
          </cell>
          <cell r="Q38">
            <v>36</v>
          </cell>
          <cell r="R38">
            <v>0.78388888888888886</v>
          </cell>
          <cell r="S38">
            <v>32.65</v>
          </cell>
          <cell r="T38">
            <v>27.71</v>
          </cell>
          <cell r="U38">
            <v>29.83</v>
          </cell>
          <cell r="V38">
            <v>-0.13568147013782539</v>
          </cell>
          <cell r="W38">
            <v>1.8404907975460016E-2</v>
          </cell>
          <cell r="X38">
            <v>-5.3972510895072046E-2</v>
          </cell>
          <cell r="Z38">
            <v>1557.6320000000001</v>
          </cell>
          <cell r="AA38">
            <v>1464.3616999999999</v>
          </cell>
          <cell r="AB38">
            <v>1700.8268</v>
          </cell>
          <cell r="AC38">
            <v>1687.2219</v>
          </cell>
          <cell r="AD38">
            <v>1271.5646999999999</v>
          </cell>
          <cell r="AE38">
            <v>1438.6615999999999</v>
          </cell>
          <cell r="AF38">
            <v>265.53237999999999</v>
          </cell>
          <cell r="AG38">
            <v>303.99142000000001</v>
          </cell>
          <cell r="AH38">
            <v>449.16899999999998</v>
          </cell>
          <cell r="AI38">
            <v>379.12866000000002</v>
          </cell>
          <cell r="AJ38">
            <v>378.66770000000002</v>
          </cell>
          <cell r="AK38">
            <v>378.69420000000002</v>
          </cell>
          <cell r="AL38">
            <v>40.624096000000002</v>
          </cell>
          <cell r="AM38">
            <v>36.351596999999998</v>
          </cell>
          <cell r="AN38">
            <v>338.50456400000002</v>
          </cell>
          <cell r="AO38">
            <v>342.316103</v>
          </cell>
          <cell r="AP38">
            <v>254.28533999999999</v>
          </cell>
          <cell r="AQ38">
            <v>263.83596999999997</v>
          </cell>
          <cell r="AR38">
            <v>263.28647000000001</v>
          </cell>
          <cell r="AS38">
            <v>-5.987954792916439E-2</v>
          </cell>
          <cell r="AT38">
            <v>0.16147998134613872</v>
          </cell>
          <cell r="AU38">
            <v>0.8683405882576688</v>
          </cell>
          <cell r="AV38">
            <v>0.84586014284346878</v>
          </cell>
          <cell r="AW38">
            <v>0.18132977665285838</v>
          </cell>
          <cell r="AX38">
            <v>0.17873155573512836</v>
          </cell>
          <cell r="AY38">
            <v>0.28836657182184239</v>
          </cell>
          <cell r="AZ38">
            <v>0.2589036984510043</v>
          </cell>
          <cell r="BA38">
            <v>0.22263742551563745</v>
          </cell>
          <cell r="BB38">
            <v>0.23116185297662459</v>
          </cell>
          <cell r="BC38">
            <v>0.20126452793429642</v>
          </cell>
          <cell r="BD38">
            <v>0.173649269849109</v>
          </cell>
          <cell r="BE38">
            <v>0.1551221852807117</v>
          </cell>
          <cell r="BF38">
            <v>7.2646232426179763E-2</v>
          </cell>
          <cell r="BG38">
            <v>7.3464224198058647E-2</v>
          </cell>
          <cell r="BI38">
            <v>2.2128267479221315</v>
          </cell>
          <cell r="BJ38">
            <v>2.5495953288043522</v>
          </cell>
          <cell r="BK38">
            <v>2.1951263644246435</v>
          </cell>
          <cell r="BL38">
            <v>2.9361697049312556</v>
          </cell>
          <cell r="BM38">
            <v>2.5951410324707354</v>
          </cell>
          <cell r="BN38">
            <v>14.060544141546881</v>
          </cell>
          <cell r="BO38">
            <v>12.281694496509145</v>
          </cell>
          <cell r="BP38">
            <v>9.8589567783187597</v>
          </cell>
          <cell r="BQ38">
            <v>9.8476589714953224</v>
          </cell>
          <cell r="BR38">
            <v>9.8596467298372694</v>
          </cell>
          <cell r="BS38">
            <v>11.029481274586301</v>
          </cell>
          <cell r="BT38">
            <v>10.906672859617125</v>
          </cell>
          <cell r="BU38">
            <v>17.697947030851985</v>
          </cell>
          <cell r="BV38">
            <v>18.324414612340611</v>
          </cell>
          <cell r="BW38">
            <v>17.661086924576662</v>
          </cell>
          <cell r="BY38">
            <v>2.9437210071428601</v>
          </cell>
          <cell r="BZ38">
            <v>2.8517605564612398</v>
          </cell>
          <cell r="CA38">
            <v>3.1324764359586301</v>
          </cell>
          <cell r="CB38">
            <v>13.6016130753968</v>
          </cell>
          <cell r="CC38">
            <v>11.620947699801199</v>
          </cell>
          <cell r="CD38">
            <v>85.894302542016902</v>
          </cell>
          <cell r="CE38">
            <v>17.480978753968301</v>
          </cell>
          <cell r="CF38">
            <v>14.2769771053678</v>
          </cell>
          <cell r="CG38">
            <v>74.154569663882299</v>
          </cell>
          <cell r="CI38">
            <v>-0.24828924257673646</v>
          </cell>
          <cell r="CJ38">
            <v>-0.2240488974754471</v>
          </cell>
          <cell r="CK38">
            <v>-0.29358550873027034</v>
          </cell>
          <cell r="CL38">
            <v>-0.27516267933308025</v>
          </cell>
          <cell r="CM38">
            <v>-0.15162196466236422</v>
          </cell>
          <cell r="CN38">
            <v>-0.88521989833381487</v>
          </cell>
          <cell r="CO38">
            <v>1.2411677854961667E-2</v>
          </cell>
          <cell r="CP38">
            <v>0.23961444360641182</v>
          </cell>
          <cell r="CQ38">
            <v>-0.76133706781563404</v>
          </cell>
        </row>
        <row r="39">
          <cell r="B39" t="str">
            <v>MEDP</v>
          </cell>
          <cell r="C39" t="str">
            <v>Medpace Holdings, Inc.</v>
          </cell>
          <cell r="D39" t="str">
            <v>Miscellaneous Commercial Services</v>
          </cell>
          <cell r="E39">
            <v>28.168222</v>
          </cell>
          <cell r="F39">
            <v>28.817</v>
          </cell>
          <cell r="G39">
            <v>15985.366240000001</v>
          </cell>
          <cell r="H39">
            <v>15625.463</v>
          </cell>
          <cell r="I39">
            <v>285.351</v>
          </cell>
          <cell r="J39">
            <v>143.97300000000001</v>
          </cell>
          <cell r="K39">
            <v>-141.37799999999999</v>
          </cell>
          <cell r="L39">
            <v>15843.988240000001</v>
          </cell>
          <cell r="M39">
            <v>15909.835085000001</v>
          </cell>
          <cell r="O39">
            <v>554.72</v>
          </cell>
          <cell r="P39">
            <v>277.23</v>
          </cell>
          <cell r="Q39">
            <v>618.49</v>
          </cell>
          <cell r="R39">
            <v>0.89689404840822007</v>
          </cell>
          <cell r="S39">
            <v>600.44000000000005</v>
          </cell>
          <cell r="T39">
            <v>497.59</v>
          </cell>
          <cell r="U39">
            <v>298.25</v>
          </cell>
          <cell r="V39">
            <v>-7.614416094863774E-2</v>
          </cell>
          <cell r="W39">
            <v>0.1148134005908481</v>
          </cell>
          <cell r="X39">
            <v>0.85991617770326911</v>
          </cell>
          <cell r="Z39">
            <v>2109.0540000000001</v>
          </cell>
          <cell r="AA39">
            <v>2511.2449000000001</v>
          </cell>
          <cell r="AB39">
            <v>2812.9092000000001</v>
          </cell>
          <cell r="AC39">
            <v>2795.5531999999998</v>
          </cell>
          <cell r="AD39">
            <v>759.84929999999997</v>
          </cell>
          <cell r="AE39">
            <v>826.71370000000002</v>
          </cell>
          <cell r="AF39">
            <v>528.37609999999995</v>
          </cell>
          <cell r="AG39">
            <v>574.94740000000002</v>
          </cell>
          <cell r="AH39">
            <v>476.12099999999998</v>
          </cell>
          <cell r="AI39">
            <v>552.97655999999995</v>
          </cell>
          <cell r="AJ39">
            <v>604.32830000000001</v>
          </cell>
          <cell r="AK39">
            <v>601.37383999999997</v>
          </cell>
          <cell r="AL39">
            <v>39.647399999999998</v>
          </cell>
          <cell r="AM39">
            <v>51.617379999999997</v>
          </cell>
          <cell r="AN39">
            <v>513.32916</v>
          </cell>
          <cell r="AO39">
            <v>552.71091999999999</v>
          </cell>
          <cell r="AP39">
            <v>436.56207000000001</v>
          </cell>
          <cell r="AQ39">
            <v>476.89550000000003</v>
          </cell>
          <cell r="AR39">
            <v>474.57495</v>
          </cell>
          <cell r="AS39">
            <v>0.19069729840961869</v>
          </cell>
          <cell r="AT39">
            <v>0.1201254007524315</v>
          </cell>
          <cell r="AU39">
            <v>0.30257873296228494</v>
          </cell>
          <cell r="AV39">
            <v>0.29389988841445719</v>
          </cell>
          <cell r="AW39">
            <v>0.21040405099478746</v>
          </cell>
          <cell r="AX39">
            <v>0.20439600396628516</v>
          </cell>
          <cell r="AY39">
            <v>0.22575097650415776</v>
          </cell>
          <cell r="AZ39">
            <v>0.22020017243240592</v>
          </cell>
          <cell r="BA39">
            <v>0.21484102650736114</v>
          </cell>
          <cell r="BB39">
            <v>0.20441222598401293</v>
          </cell>
          <cell r="BC39">
            <v>0.1964908501134697</v>
          </cell>
          <cell r="BD39">
            <v>0.17384288963613226</v>
          </cell>
          <cell r="BE39">
            <v>0.16953817776983346</v>
          </cell>
          <cell r="BF39">
            <v>3.2852092766787133E-2</v>
          </cell>
          <cell r="BG39">
            <v>3.5372450723540158E-2</v>
          </cell>
          <cell r="BI39">
            <v>5.6911222741173377</v>
          </cell>
          <cell r="BJ39">
            <v>6.3354374895893271</v>
          </cell>
          <cell r="BK39">
            <v>5.6560073410830327</v>
          </cell>
          <cell r="BL39">
            <v>20.938145346715462</v>
          </cell>
          <cell r="BM39">
            <v>19.244673319191396</v>
          </cell>
          <cell r="BN39">
            <v>30.11081516556105</v>
          </cell>
          <cell r="BO39">
            <v>27.671809777729234</v>
          </cell>
          <cell r="BP39">
            <v>26.455815046760268</v>
          </cell>
          <cell r="BQ39">
            <v>28.771264888696191</v>
          </cell>
          <cell r="BR39">
            <v>26.326476991065949</v>
          </cell>
          <cell r="BS39">
            <v>30.993437203138821</v>
          </cell>
          <cell r="BT39">
            <v>28.785092729848728</v>
          </cell>
          <cell r="BU39">
            <v>32.925174411333764</v>
          </cell>
          <cell r="BV39">
            <v>35.792076485252139</v>
          </cell>
          <cell r="BW39">
            <v>32.764962135310562</v>
          </cell>
          <cell r="BY39">
            <v>4.9023154361111096</v>
          </cell>
          <cell r="BZ39">
            <v>4.9547367514910503</v>
          </cell>
          <cell r="CA39">
            <v>4.6197739688941901</v>
          </cell>
          <cell r="CB39">
            <v>22.6232445833333</v>
          </cell>
          <cell r="CC39">
            <v>23.882419121272399</v>
          </cell>
          <cell r="CD39">
            <v>23.2967221352427</v>
          </cell>
          <cell r="CE39">
            <v>28.450032849206298</v>
          </cell>
          <cell r="CF39">
            <v>29.8490277852883</v>
          </cell>
          <cell r="CG39">
            <v>30.042634336515501</v>
          </cell>
          <cell r="CI39">
            <v>0.16090495364614266</v>
          </cell>
          <cell r="CJ39">
            <v>0.148622532247487</v>
          </cell>
          <cell r="CK39">
            <v>0.2319049183870765</v>
          </cell>
          <cell r="CL39">
            <v>0.16940852357890557</v>
          </cell>
          <cell r="CM39">
            <v>0.10775273277051367</v>
          </cell>
          <cell r="CN39">
            <v>0.13560246343577109</v>
          </cell>
          <cell r="CO39">
            <v>0.15729829156426844</v>
          </cell>
          <cell r="CP39">
            <v>0.10305684487189914</v>
          </cell>
          <cell r="CQ39">
            <v>9.5948312738828756E-2</v>
          </cell>
        </row>
        <row r="40">
          <cell r="B40" t="str">
            <v>ONON</v>
          </cell>
          <cell r="C40" t="str">
            <v>On Holding AG Class A</v>
          </cell>
          <cell r="D40" t="str">
            <v>Apparel/Footwear</v>
          </cell>
          <cell r="E40">
            <v>293.04773</v>
          </cell>
          <cell r="F40">
            <v>333.95027700000003</v>
          </cell>
          <cell r="G40">
            <v>16453.730147790004</v>
          </cell>
          <cell r="H40">
            <v>16088.597</v>
          </cell>
          <cell r="I40">
            <v>1208.82297492616</v>
          </cell>
          <cell r="J40">
            <v>703.95274304028203</v>
          </cell>
          <cell r="K40">
            <v>-504.87023188587796</v>
          </cell>
          <cell r="L40">
            <v>15948.859915904126</v>
          </cell>
          <cell r="M40">
            <v>15945.5204131341</v>
          </cell>
          <cell r="O40">
            <v>49.27</v>
          </cell>
          <cell r="P40">
            <v>34.96</v>
          </cell>
          <cell r="Q40">
            <v>63.62</v>
          </cell>
          <cell r="R40">
            <v>0.77444199937126701</v>
          </cell>
          <cell r="S40">
            <v>34.96</v>
          </cell>
          <cell r="T40">
            <v>43.3</v>
          </cell>
          <cell r="U40">
            <v>52.26</v>
          </cell>
          <cell r="V40">
            <v>0.40932494279176201</v>
          </cell>
          <cell r="W40">
            <v>0.13787528868360299</v>
          </cell>
          <cell r="X40">
            <v>-5.7213930348258613E-2</v>
          </cell>
          <cell r="Z40">
            <v>2632.4348543948499</v>
          </cell>
          <cell r="AA40">
            <v>3712.4578000000001</v>
          </cell>
          <cell r="AB40">
            <v>4563.2236000000003</v>
          </cell>
          <cell r="AC40">
            <v>4514.2754000000004</v>
          </cell>
          <cell r="AD40">
            <v>2319.4805000000001</v>
          </cell>
          <cell r="AE40">
            <v>2845.9054999999998</v>
          </cell>
          <cell r="AF40">
            <v>489.01366999999999</v>
          </cell>
          <cell r="AG40">
            <v>633.76935000000003</v>
          </cell>
          <cell r="AH40">
            <v>358.93225000000001</v>
          </cell>
          <cell r="AI40">
            <v>681.92070000000001</v>
          </cell>
          <cell r="AJ40">
            <v>854.89859999999999</v>
          </cell>
          <cell r="AK40">
            <v>844.94650000000001</v>
          </cell>
          <cell r="AL40">
            <v>113.523506</v>
          </cell>
          <cell r="AM40">
            <v>150.12137999999999</v>
          </cell>
          <cell r="AN40">
            <v>568.39719400000001</v>
          </cell>
          <cell r="AO40">
            <v>704.77721999999994</v>
          </cell>
          <cell r="AP40">
            <v>239.37741</v>
          </cell>
          <cell r="AQ40">
            <v>476.17016999999998</v>
          </cell>
          <cell r="AR40">
            <v>462.54647999999997</v>
          </cell>
          <cell r="AS40">
            <v>0.41027527948205522</v>
          </cell>
          <cell r="AT40">
            <v>0.22916510997108164</v>
          </cell>
          <cell r="AU40">
            <v>0.62478299416629057</v>
          </cell>
          <cell r="AV40">
            <v>0.62366119863159886</v>
          </cell>
          <cell r="AW40">
            <v>0.13172235116046302</v>
          </cell>
          <cell r="AX40">
            <v>0.13888632369450404</v>
          </cell>
          <cell r="AY40">
            <v>0.13634990791918844</v>
          </cell>
          <cell r="AZ40">
            <v>0.18368443137589335</v>
          </cell>
          <cell r="BA40">
            <v>0.1873453231614598</v>
          </cell>
          <cell r="BB40">
            <v>0.15310536162862243</v>
          </cell>
          <cell r="BC40">
            <v>0.15444722454538495</v>
          </cell>
          <cell r="BD40">
            <v>6.4479496575018308E-2</v>
          </cell>
          <cell r="BE40">
            <v>0.10434951511032682</v>
          </cell>
          <cell r="BF40">
            <v>3.5329195827330379E-2</v>
          </cell>
          <cell r="BG40">
            <v>4.3806008690502968E-2</v>
          </cell>
          <cell r="BI40">
            <v>3.5322436050609802</v>
          </cell>
          <cell r="BJ40">
            <v>4.295138496425225</v>
          </cell>
          <cell r="BK40">
            <v>3.4943543886681554</v>
          </cell>
          <cell r="BL40">
            <v>6.8746085225265308</v>
          </cell>
          <cell r="BM40">
            <v>5.6029690420620435</v>
          </cell>
          <cell r="BN40">
            <v>32.607514659322511</v>
          </cell>
          <cell r="BO40">
            <v>25.159816285110821</v>
          </cell>
          <cell r="BP40">
            <v>18.87163318995238</v>
          </cell>
          <cell r="BQ40">
            <v>23.383247367522497</v>
          </cell>
          <cell r="BR40">
            <v>18.651943532407351</v>
          </cell>
          <cell r="BS40">
            <v>28.053481933857153</v>
          </cell>
          <cell r="BT40">
            <v>22.624908922473544</v>
          </cell>
          <cell r="BU40">
            <v>34.782660112341574</v>
          </cell>
          <cell r="BV40">
            <v>67.210172421867213</v>
          </cell>
          <cell r="BW40">
            <v>33.78749450012797</v>
          </cell>
          <cell r="BY40">
            <v>4.07413010039682</v>
          </cell>
          <cell r="BZ40">
            <v>4.1513833520874703</v>
          </cell>
          <cell r="CA40">
            <v>4.7953365790521296</v>
          </cell>
          <cell r="CB40">
            <v>23.152650563492099</v>
          </cell>
          <cell r="CC40">
            <v>24.232638994035799</v>
          </cell>
          <cell r="CD40">
            <v>32.915404819905199</v>
          </cell>
          <cell r="CE40">
            <v>39.737239424603203</v>
          </cell>
          <cell r="CF40">
            <v>40.1533439840954</v>
          </cell>
          <cell r="CG40">
            <v>138.15669896887201</v>
          </cell>
          <cell r="CI40">
            <v>-0.13300667430405821</v>
          </cell>
          <cell r="CJ40">
            <v>-0.14914058628557236</v>
          </cell>
          <cell r="CK40">
            <v>-0.26340027507325015</v>
          </cell>
          <cell r="CL40">
            <v>-0.18490398590864476</v>
          </cell>
          <cell r="CM40">
            <v>-0.22123078734441115</v>
          </cell>
          <cell r="CN40">
            <v>-0.426662582665853</v>
          </cell>
          <cell r="CO40">
            <v>-0.12468353071335936</v>
          </cell>
          <cell r="CP40">
            <v>-0.13375433622368127</v>
          </cell>
          <cell r="CQ40">
            <v>-0.74823761444837045</v>
          </cell>
        </row>
        <row r="42">
          <cell r="B42" t="str">
            <v>*</v>
          </cell>
          <cell r="C42" t="str">
            <v>*</v>
          </cell>
          <cell r="D42" t="str">
            <v>*</v>
          </cell>
          <cell r="E42" t="str">
            <v>*</v>
          </cell>
          <cell r="F42" t="str">
            <v>*</v>
          </cell>
          <cell r="G42" t="str">
            <v>*</v>
          </cell>
          <cell r="H42" t="str">
            <v>*</v>
          </cell>
          <cell r="I42" t="str">
            <v>*</v>
          </cell>
          <cell r="J42" t="str">
            <v>*</v>
          </cell>
          <cell r="K42" t="str">
            <v>*</v>
          </cell>
          <cell r="L42" t="str">
            <v>*</v>
          </cell>
          <cell r="M42" t="str">
            <v>*</v>
          </cell>
          <cell r="N42" t="str">
            <v>*</v>
          </cell>
          <cell r="O42" t="str">
            <v>*</v>
          </cell>
          <cell r="P42" t="str">
            <v>*</v>
          </cell>
          <cell r="Q42" t="str">
            <v>*</v>
          </cell>
          <cell r="R42" t="str">
            <v>*</v>
          </cell>
          <cell r="S42" t="str">
            <v>*</v>
          </cell>
          <cell r="T42" t="str">
            <v>*</v>
          </cell>
          <cell r="U42" t="str">
            <v>*</v>
          </cell>
          <cell r="V42" t="str">
            <v>*</v>
          </cell>
          <cell r="W42" t="str">
            <v>*</v>
          </cell>
          <cell r="X42" t="str">
            <v>*</v>
          </cell>
          <cell r="Y42" t="str">
            <v>*</v>
          </cell>
          <cell r="Z42" t="str">
            <v>*</v>
          </cell>
          <cell r="AA42" t="str">
            <v>*</v>
          </cell>
          <cell r="AB42" t="str">
            <v>*</v>
          </cell>
          <cell r="AC42" t="str">
            <v>*</v>
          </cell>
          <cell r="AD42" t="str">
            <v>*</v>
          </cell>
          <cell r="AE42" t="str">
            <v>*</v>
          </cell>
          <cell r="AF42" t="str">
            <v>*</v>
          </cell>
          <cell r="AG42" t="str">
            <v>*</v>
          </cell>
          <cell r="AH42" t="str">
            <v>*</v>
          </cell>
          <cell r="AI42" t="str">
            <v>*</v>
          </cell>
          <cell r="AJ42" t="str">
            <v>*</v>
          </cell>
          <cell r="AK42" t="str">
            <v>*</v>
          </cell>
          <cell r="AL42" t="str">
            <v>*</v>
          </cell>
          <cell r="AM42" t="str">
            <v>*</v>
          </cell>
          <cell r="AN42" t="str">
            <v>*</v>
          </cell>
          <cell r="AO42" t="str">
            <v>*</v>
          </cell>
          <cell r="AP42" t="str">
            <v>*</v>
          </cell>
          <cell r="AQ42" t="str">
            <v>*</v>
          </cell>
          <cell r="AR42" t="str">
            <v>*</v>
          </cell>
          <cell r="AS42" t="str">
            <v>*</v>
          </cell>
          <cell r="AT42" t="str">
            <v>*</v>
          </cell>
          <cell r="AU42" t="str">
            <v>*</v>
          </cell>
          <cell r="AV42" t="str">
            <v>*</v>
          </cell>
          <cell r="AY42" t="str">
            <v>*</v>
          </cell>
          <cell r="AZ42" t="str">
            <v>*</v>
          </cell>
          <cell r="BA42" t="str">
            <v>*</v>
          </cell>
          <cell r="BB42" t="str">
            <v>*</v>
          </cell>
          <cell r="BC42" t="str">
            <v>*</v>
          </cell>
          <cell r="BD42" t="str">
            <v>*</v>
          </cell>
          <cell r="BE42" t="str">
            <v>*</v>
          </cell>
          <cell r="BF42" t="str">
            <v>*</v>
          </cell>
          <cell r="BG42" t="str">
            <v>*</v>
          </cell>
          <cell r="BH42" t="str">
            <v>*</v>
          </cell>
          <cell r="BI42" t="str">
            <v>*</v>
          </cell>
          <cell r="BJ42" t="str">
            <v>*</v>
          </cell>
          <cell r="BK42" t="str">
            <v>*</v>
          </cell>
          <cell r="BL42" t="str">
            <v>*</v>
          </cell>
          <cell r="BM42" t="str">
            <v>*</v>
          </cell>
          <cell r="BN42" t="str">
            <v>*</v>
          </cell>
          <cell r="BO42" t="str">
            <v>*</v>
          </cell>
          <cell r="BP42" t="str">
            <v>*</v>
          </cell>
          <cell r="BQ42" t="str">
            <v>*</v>
          </cell>
          <cell r="BR42" t="str">
            <v>*</v>
          </cell>
          <cell r="BS42" t="str">
            <v>*</v>
          </cell>
          <cell r="BT42" t="str">
            <v>*</v>
          </cell>
          <cell r="BU42" t="str">
            <v>*</v>
          </cell>
          <cell r="BV42" t="str">
            <v>*</v>
          </cell>
          <cell r="BW42" t="str">
            <v>*</v>
          </cell>
          <cell r="BX42" t="str">
            <v>*</v>
          </cell>
          <cell r="BY42" t="str">
            <v>*</v>
          </cell>
          <cell r="BZ42" t="str">
            <v>*</v>
          </cell>
          <cell r="CA42" t="str">
            <v>*</v>
          </cell>
          <cell r="CB42" t="str">
            <v>*</v>
          </cell>
          <cell r="CC42" t="str">
            <v>*</v>
          </cell>
          <cell r="CD42" t="str">
            <v>*</v>
          </cell>
          <cell r="CE42" t="str">
            <v>*</v>
          </cell>
          <cell r="CF42" t="str">
            <v>*</v>
          </cell>
          <cell r="CG42" t="str">
            <v>*</v>
          </cell>
          <cell r="CH42" t="str">
            <v>*</v>
          </cell>
          <cell r="CI42" t="str">
            <v>*</v>
          </cell>
          <cell r="CJ42" t="str">
            <v>*</v>
          </cell>
          <cell r="CK42" t="str">
            <v>*</v>
          </cell>
          <cell r="CL42" t="str">
            <v>*</v>
          </cell>
          <cell r="CM42" t="str">
            <v>*</v>
          </cell>
          <cell r="CN42" t="str">
            <v>*</v>
          </cell>
          <cell r="CO42" t="str">
            <v>*</v>
          </cell>
          <cell r="CP42" t="str">
            <v>*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CF"/>
      <sheetName val="WACC"/>
      <sheetName val="Shares"/>
      <sheetName val="IS - Estimates"/>
      <sheetName val="IS - Annual"/>
      <sheetName val="IS - Quarterly"/>
      <sheetName val="CFS - Estimates"/>
      <sheetName val="CFS - Annual"/>
      <sheetName val="CFS - Quarterly"/>
    </sheetNames>
    <sheetDataSet>
      <sheetData sheetId="0" refreshError="1"/>
      <sheetData sheetId="1">
        <row r="18">
          <cell r="E18">
            <v>0.09</v>
          </cell>
        </row>
        <row r="19">
          <cell r="E19">
            <v>0.03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CF"/>
      <sheetName val="WACC"/>
      <sheetName val="Shares"/>
      <sheetName val="IS - Historicals"/>
      <sheetName val="IS - Forecast"/>
      <sheetName val="CFS - Historicals"/>
      <sheetName val="CFS - Forecast"/>
    </sheetNames>
    <sheetDataSet>
      <sheetData sheetId="0" refreshError="1"/>
      <sheetData sheetId="1">
        <row r="18">
          <cell r="E18">
            <v>8.4806000000000006E-2</v>
          </cell>
        </row>
        <row r="19">
          <cell r="E19">
            <v>2.5000000000000001E-2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DCF"/>
      <sheetName val="WACC"/>
      <sheetName val="Shares"/>
      <sheetName val="IS - Historical"/>
      <sheetName val="IS - Estimates"/>
      <sheetName val="CFS - Historicals"/>
      <sheetName val="CFS - Estimates"/>
    </sheetNames>
    <sheetDataSet>
      <sheetData sheetId="0"/>
      <sheetData sheetId="1">
        <row r="18">
          <cell r="E18">
            <v>8.5920208458066138E-2</v>
          </cell>
        </row>
        <row r="19">
          <cell r="E19">
            <v>2.5000000000000001E-2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fdsup://factset/Doc%20Viewer%20Single?float_window=true&amp;positioning_strategy=center_on_screen&amp;_doc_docfn=U2FsdGVkX1+1rKkIsy3Z82txoKmsICVwQ7K2Vejhr2hJQStsYAkuKb/6fopOmLseg3Si/1qhgRac8Z/YnZt6t9il2DWaRlrW4U4llMXXhAs=&amp;_app_id=central_doc_viewer&amp;center_on_screen=true&amp;width=950&amp;height=800&amp;_dd2=%26f%3Dsld%26c%3Dtrue%26os%3D142489%26oe%3D142495" TargetMode="External"/><Relationship Id="rId21" Type="http://schemas.openxmlformats.org/officeDocument/2006/relationships/hyperlink" Target="fdsup://factset/Doc%20Viewer%20Single?float_window=true&amp;positioning_strategy=center_on_screen&amp;_doc_docfn=U2FsdGVkX1+dP4UMF0MQzt/YE7ZwOeApxguvfwPlyArNiUpm5ampPo8txG5GOkWKcc8cm0QA+jhIl0IHunIQu2EOt5OA0QkH6vH+x/R4OMg=&amp;_app_id=central_doc_viewer&amp;center_on_screen=true&amp;width=950&amp;height=800&amp;_dd2=%26f%3Dsld%26c%3Dtrue%26os%3D249960%26oe%3D249966" TargetMode="External"/><Relationship Id="rId42" Type="http://schemas.openxmlformats.org/officeDocument/2006/relationships/hyperlink" Target="fdsup://factset/Doc%20Viewer%20Single?float_window=true&amp;positioning_strategy=center_on_screen&amp;_doc_docfn=U2FsdGVkX1+bAozPxAfTUy9UrbumQ5WYxy/CLZ3pq2bevLRGciB1sTskPTkF41qwBPj4IxNu8wTAlwShihKFBGvZRvmiy5m22fZ82nVCPtU=&amp;_app_id=central_doc_viewer&amp;center_on_screen=true&amp;width=950&amp;height=800&amp;_dd2=%26f%3Dsld%26c%3Dtrue%26os%3D67597%26oe%3D67603" TargetMode="External"/><Relationship Id="rId63" Type="http://schemas.openxmlformats.org/officeDocument/2006/relationships/hyperlink" Target="fdsup://factset/Doc%20Viewer%20Single?float_window=true&amp;positioning_strategy=center_on_screen&amp;_doc_docfn=U2FsdGVkX1/1+/0KorESBsfC2z9ChEijd1pXmEPeTh9qvZ1E+l/tHMUbk9d2kN119cK12WXK8HGvS6rLYnsaMlZ68H59wBNtK+42xKMIDr8=&amp;_app_id=central_doc_viewer&amp;center_on_screen=true&amp;width=950&amp;height=800&amp;_dd2=%26f%3Dsld%26c%3Dtrue%26os%3D138692%26oe%3D138697" TargetMode="External"/><Relationship Id="rId84" Type="http://schemas.openxmlformats.org/officeDocument/2006/relationships/hyperlink" Target="fdsup://factset/Doc%20Viewer%20Single?float_window=true&amp;positioning_strategy=center_on_screen&amp;_doc_docfn=U2FsdGVkX18CJb60cjuDqnfUPdksBMAB/FgmutJ5cOMQKaCt0gVuNbk1w8DsGOtLR/PndPjgiPFzZ8DzLzx/A23AcMX4eHvat+NTioqG+9s=&amp;_app_id=central_doc_viewer&amp;center_on_screen=true&amp;width=950&amp;height=800&amp;_dd2=%26f%3Dsld%26c%3Dtrue%26os%3D138791%26oe%3D138796" TargetMode="External"/><Relationship Id="rId138" Type="http://schemas.openxmlformats.org/officeDocument/2006/relationships/hyperlink" Target="fdsup://factset/Doc%20Viewer%20Single?float_window=true&amp;positioning_strategy=center_on_screen&amp;_doc_docfn=U2FsdGVkX1+lLCrFl50g+TERrVDtc3h9NsjRgGcmvRlY6bdhj4qTx1UpB4vWZzWSNbpHZfIWecj6nn25758ovPrTf4RN2LLTFXIEyExYzUg=&amp;_app_id=central_doc_viewer&amp;center_on_screen=true&amp;width=950&amp;height=800&amp;_dd2=%26f%3Dsld%26c%3Dtrue%26os%3D141894%26oe%3D141900" TargetMode="External"/><Relationship Id="rId159" Type="http://schemas.openxmlformats.org/officeDocument/2006/relationships/hyperlink" Target="fdsup://factset/Doc%20Viewer%20Single?float_window=true&amp;positioning_strategy=center_on_screen&amp;_doc_docfn=U2FsdGVkX1+rbJetWiEbBymxAOWN8Jw41ayHzhlWgTWkZATW+fz4N80TI/ft5RvuJPMoiOCCTN7uomBieNZGA0jGkhFNN4McNg4DA4ntni8=&amp;_app_id=central_doc_viewer&amp;center_on_screen=true&amp;width=950&amp;height=800&amp;_dd2=%26f%3Dsld%26c%3Dtrue%26os%3D1044073%26oe%3D1044078" TargetMode="External"/><Relationship Id="rId170" Type="http://schemas.openxmlformats.org/officeDocument/2006/relationships/hyperlink" Target="fdsup://factset/Doc%20Viewer%20Single?float_window=true&amp;positioning_strategy=center_on_screen&amp;_doc_docfn=U2FsdGVkX1/xgBgnvwMNC30NdRCFad+Csu1aQ3erNgFoDPBfWkAnBh7dldmM9LGsXOv05NbvSp/UjWBlc6HqizCPujv2s4drmEOCscOZJFw=&amp;_app_id=central_doc_viewer&amp;center_on_screen=true&amp;width=950&amp;height=800&amp;_dd2=%26f%3Dsld%26c%3Dtrue%26os%3D1214441%26oe%3D1214447" TargetMode="External"/><Relationship Id="rId107" Type="http://schemas.openxmlformats.org/officeDocument/2006/relationships/hyperlink" Target="fdsup://factset/Doc%20Viewer%20Single?float_window=true&amp;positioning_strategy=center_on_screen&amp;_doc_docfn=U2FsdGVkX19Fa8kGjxu0mXUuE8Oeuu4Fpvo9YB+R3bpeybco5kqOlyOI1QvoftAjz/N7xFhgH4hVhFHSNSjq8aLMseU0tm4lG2Z+Ix+tfxY=&amp;_app_id=central_doc_viewer&amp;center_on_screen=true&amp;width=950&amp;height=800&amp;_dd2=%26f%3Dsld%26c%3Dtrue%26os%3D73295%26oe%3D73301" TargetMode="External"/><Relationship Id="rId11" Type="http://schemas.openxmlformats.org/officeDocument/2006/relationships/hyperlink" Target="fdsup://factset/Doc%20Viewer%20Single?float_window=true&amp;positioning_strategy=center_on_screen&amp;_doc_docfn=U2FsdGVkX1+BUXhBAgfkshN41QLz+E3kphmUqoqrX8+tq4zMDIIUUaTqX5YnNhCqvY0/2448EurHPe237vLOpCZdxnxZ07nLgmPIQg6jklQ=&amp;_app_id=central_doc_viewer&amp;center_on_screen=true&amp;width=950&amp;height=800&amp;_dd2=%26f%3Dsld%26c%3Dtrue%26os%3D260284%26oe%3D260290" TargetMode="External"/><Relationship Id="rId32" Type="http://schemas.openxmlformats.org/officeDocument/2006/relationships/hyperlink" Target="fdsup://factset/Doc%20Viewer%20Single?float_window=true&amp;positioning_strategy=center_on_screen&amp;_doc_docfn=U2FsdGVkX1+mq3029n4c6L0TTnceIvlZl3wNBN8bb5Yn1wdz4jzUlBX3+2JvqSQQXXVW5bhTVDUK4ZbX3gN/6b1uS8ddPgV85IjGhKXf4wY=&amp;_app_id=central_doc_viewer&amp;center_on_screen=true&amp;width=950&amp;height=800&amp;_dd2=%26f%3Dsld%26c%3Dtrue%26os%3D66812%26oe%3D66818" TargetMode="External"/><Relationship Id="rId53" Type="http://schemas.openxmlformats.org/officeDocument/2006/relationships/hyperlink" Target="fdsup://factset/Doc%20Viewer%20Single?float_window=true&amp;positioning_strategy=center_on_screen&amp;_doc_docfn=U2FsdGVkX18nkzHh88jSh1XXXHJXLhRCogWQMUp5ZA4qurpZjkTibH7GGJaMfdOgRMK8mCxIXnQ486v/u5ELXb0jVCNW7g+6GcStIeWlXWQ=&amp;_app_id=central_doc_viewer&amp;center_on_screen=true&amp;width=950&amp;height=800&amp;_dd2=%26f%3Dsld%26c%3Dtrue%26os%3D65535%26oe%3D65540" TargetMode="External"/><Relationship Id="rId74" Type="http://schemas.openxmlformats.org/officeDocument/2006/relationships/hyperlink" Target="fdsup://factset/Doc%20Viewer%20Single?float_window=true&amp;positioning_strategy=center_on_screen&amp;_doc_docfn=U2FsdGVkX1+UHkIEhlPsvNjWz3MQBvkQtONVSkF/7fpHk5+p3zrdH5E/251bIQIyDtiJG0HGtpawdoK+tzZWfmUa4jGQSVgT/SXScQBp6Uk=&amp;_app_id=central_doc_viewer&amp;center_on_screen=true&amp;width=950&amp;height=800&amp;_dd2=%26f%3Dsld%26c%3Dtrue%26os%3D138074%26oe%3D138080" TargetMode="External"/><Relationship Id="rId128" Type="http://schemas.openxmlformats.org/officeDocument/2006/relationships/hyperlink" Target="fdsup://factset/Doc%20Viewer%20Single?float_window=true&amp;positioning_strategy=center_on_screen&amp;_doc_docfn=U2FsdGVkX1/bE0hL8aQiE16BcoEJEZHok3hha5hMBPy/0AqCOX0p8nAHaJyIWPl6YU6pwhSthoLHtlG1eBpchazaGv19/timz8engySJiMM=&amp;_app_id=central_doc_viewer&amp;center_on_screen=true&amp;width=950&amp;height=800&amp;_dd2=%26f%3Dsld%26c%3Dtrue%26os%3D208368%26oe%3D208376" TargetMode="External"/><Relationship Id="rId149" Type="http://schemas.openxmlformats.org/officeDocument/2006/relationships/hyperlink" Target="fdsup://factset/Doc%20Viewer%20Single?float_window=true&amp;positioning_strategy=center_on_screen&amp;_doc_docfn=U2FsdGVkX19V/SMwH9RmldAz1qVutPy1OZ8e/1VymYMyl6GsGW8kEy0t/qV5PLORtJ+Nj7VyvPXm35gLTHR8NvD+cGhh0L83GKFspy+jyfA=&amp;_app_id=central_doc_viewer&amp;center_on_screen=true&amp;width=950&amp;height=800&amp;_dd2=%26f%3Dsld%26c%3Dtrue%26os%3D1208302%26oe%3D1208309" TargetMode="External"/><Relationship Id="rId5" Type="http://schemas.openxmlformats.org/officeDocument/2006/relationships/hyperlink" Target="fdsup://factset/Doc%20Viewer%20Single?float_window=true&amp;positioning_strategy=center_on_screen&amp;_doc_docfn=U2FsdGVkX1+XxP6GHrI+aSjA+01NVTHyGERSCZXmjwjAruc63H7G5tzsOTGfJH2IkBJthjbhm2AatEq+DA9Z5/Bsju9IY282PYlbfZ5z4ew=&amp;_app_id=central_doc_viewer&amp;center_on_screen=true&amp;width=950&amp;height=800&amp;_dd2=%26f%3Dsld%26c%3Dtrue%26os%3D134692%26oe%3D134699" TargetMode="External"/><Relationship Id="rId95" Type="http://schemas.openxmlformats.org/officeDocument/2006/relationships/hyperlink" Target="fdsup://factset/Doc%20Viewer%20Single?float_window=true&amp;positioning_strategy=center_on_screen&amp;_doc_docfn=U2FsdGVkX19pJ6kVOvVMBA4ZPBL8ewKgdww2HVYBkXLly2mAIpEM5t50RlHAMVt8/aR9sNRRxFET9mZLRQAXPjsUz0kgdGiruon05zN7zBg=&amp;_app_id=central_doc_viewer&amp;center_on_screen=true&amp;width=950&amp;height=800&amp;_dd2=%26f%3Dsld%26c%3Dtrue%26os%3D136753%26oe%3D136760" TargetMode="External"/><Relationship Id="rId160" Type="http://schemas.openxmlformats.org/officeDocument/2006/relationships/hyperlink" Target="fdsup://factset/Doc%20Viewer%20Single?float_window=true&amp;positioning_strategy=center_on_screen&amp;_doc_docfn=U2FsdGVkX193m59Y6qCip9/aCxFe9NsPL6UoxKZV20YN8pT/iNzcjGxGZoweFlGhK023e+9GqPsnuE1tz92F9JfcDKoey8BrXp4PvOGSyVI=&amp;_app_id=central_doc_viewer&amp;center_on_screen=true&amp;width=950&amp;height=800&amp;_dd2=%26f%3Dsld%26c%3Dtrue%26os%3D3140018%26oe%3D3140023" TargetMode="External"/><Relationship Id="rId181" Type="http://schemas.openxmlformats.org/officeDocument/2006/relationships/hyperlink" Target="fdsup://factset/Doc%20Viewer%20Single?float_window=true&amp;positioning_strategy=center_on_screen&amp;_doc_docfn=U2FsdGVkX1+xxFy37yu6Yz39vO0RmXxxlRKz3GV2YI1QChSiKBC45VQ6XQSQPjsbCd5KGJSJvj0cn/wRui5S0YbcS20amE8WO57n7bt3720=&amp;_app_id=central_doc_viewer&amp;center_on_screen=true&amp;width=950&amp;height=800&amp;_dd2=%26f%3Dsld%26c%3Dtrue%26os%3D3160148%26oe%3D3160153" TargetMode="External"/><Relationship Id="rId22" Type="http://schemas.openxmlformats.org/officeDocument/2006/relationships/hyperlink" Target="fdsup://factset/Doc%20Viewer%20Single?float_window=true&amp;positioning_strategy=center_on_screen&amp;_doc_docfn=U2FsdGVkX1/c9N8Ykvwna5WLENBWbPjsBBxXY0kJoI0VdbaAwWMinE5MmsDjOqZ28KRkvOc19q/cg6hpwgxFZNT+GPddZiloPziCGJl98Ew=&amp;_app_id=central_doc_viewer&amp;center_on_screen=true&amp;width=950&amp;height=800&amp;_dd2=%26f%3Dsld%26c%3Dtrue%26os%3D66049%26oe%3D66055" TargetMode="External"/><Relationship Id="rId43" Type="http://schemas.openxmlformats.org/officeDocument/2006/relationships/hyperlink" Target="fdsup://factset/Doc%20Viewer%20Single?float_window=true&amp;positioning_strategy=center_on_screen&amp;_doc_docfn=U2FsdGVkX1/auqezBl+RTpZV4pBtAPaYbNYLgUKLpobiiIQ6MKCBXsv8h5xXnjihG9tqRQ821q55Qre90rbQ0PHC9Qxr1f2SJRcGd0Bx/OE=&amp;_app_id=central_doc_viewer&amp;center_on_screen=true&amp;width=950&amp;height=800&amp;_dd2=%26f%3Dsld%26c%3Dtrue%26os%3D64745%26oe%3D64751" TargetMode="External"/><Relationship Id="rId64" Type="http://schemas.openxmlformats.org/officeDocument/2006/relationships/hyperlink" Target="fdsup://factset/Doc%20Viewer%20Single?float_window=true&amp;positioning_strategy=center_on_screen&amp;_doc_docfn=U2FsdGVkX1+WjZ+d3m+Ern/2QnIjR3g6vVr3qfmqYm1mNa/HV63YTtuk/j9YDicubsQGp4qqkU00of7qPy2b3A0+HM6Tmc96wOaBnrhuh24=&amp;_app_id=central_doc_viewer&amp;center_on_screen=true&amp;width=950&amp;height=800&amp;_dd2=%26f%3Dsld%26c%3Dtrue%26os%3D203837%26oe%3D203838" TargetMode="External"/><Relationship Id="rId118" Type="http://schemas.openxmlformats.org/officeDocument/2006/relationships/hyperlink" Target="fdsup://factset/Doc%20Viewer%20Single?float_window=true&amp;positioning_strategy=center_on_screen&amp;_doc_docfn=U2FsdGVkX18SBqFd2fNsv/UZcoelNZrOaLT2pSnKgNl8yj52kWBr/3Q55phfw0niEh7B2uzkNz5GgC5gUWA//Ts6gLr8MdsFJwP2lFtuYJA=&amp;_app_id=central_doc_viewer&amp;center_on_screen=true&amp;width=950&amp;height=800&amp;_dd2=%26f%3Dsld%26c%3Dtrue%26os%3D141124%26oe%3D141132" TargetMode="External"/><Relationship Id="rId139" Type="http://schemas.openxmlformats.org/officeDocument/2006/relationships/hyperlink" Target="fdsup://factset/Doc%20Viewer%20Single?float_window=true&amp;positioning_strategy=center_on_screen&amp;_doc_docfn=U2FsdGVkX19VywfQ+MsCAxWrzNS/wTQl73QXCYQvgsoze1hbHBby/4fvpMLx7kRunN/LrNIfX87aTZKLxCxQr+tHmT34sAmE8vPXz+47Sbw=&amp;_app_id=central_doc_viewer&amp;center_on_screen=true&amp;width=950&amp;height=800&amp;_dd2=%26f%3Dsld%26c%3Dtrue%26os%3D139046%26oe%3D139050" TargetMode="External"/><Relationship Id="rId85" Type="http://schemas.openxmlformats.org/officeDocument/2006/relationships/hyperlink" Target="fdsup://factset/Doc%20Viewer%20Single?float_window=true&amp;positioning_strategy=center_on_screen&amp;_doc_docfn=U2FsdGVkX19DFvwoIiGj3WLEb0xcy9/ioRWI2ZaoHoQChBCfRS5/d0tkL6g1if4dnCammlpw7VFA2Ox2UmRk/q7tM49ccshHWTZH3CrGPro=&amp;_app_id=central_doc_viewer&amp;center_on_screen=true&amp;width=950&amp;height=800&amp;_dd2=%26f%3Dsld%26c%3Dtrue%26os%3D135959%26oe%3D135964" TargetMode="External"/><Relationship Id="rId150" Type="http://schemas.openxmlformats.org/officeDocument/2006/relationships/hyperlink" Target="fdsup://factset/Doc%20Viewer%20Single?float_window=true&amp;positioning_strategy=center_on_screen&amp;_doc_docfn=U2FsdGVkX1+9wDRWtg37PXQaHE81GOqdfg+CgJm9JmuObtFKPqE3RqeE8RTmIzKXHDmbwiDQXbVzGZ8cA5iCNxrikLvWd5/8dmKGEOD4aW8=&amp;_app_id=central_doc_viewer&amp;center_on_screen=true&amp;width=950&amp;height=800&amp;_dd2=%26f%3Dsld%26c%3Dtrue%26os%3D2773719%26oe%3D2773726" TargetMode="External"/><Relationship Id="rId171" Type="http://schemas.openxmlformats.org/officeDocument/2006/relationships/hyperlink" Target="fdsup://factset/Doc%20Viewer%20Single?float_window=true&amp;positioning_strategy=center_on_screen&amp;_doc_docfn=U2FsdGVkX19Oq8xXwX4qUiuNVvGsU1SRZeWhNUVWnJSID2V3cKosRMlEFojX8F/94MBxLKKROGXiSWGgPsmKqEchPuEel4sBqnOWvcIuLxE=&amp;_app_id=central_doc_viewer&amp;center_on_screen=true&amp;width=950&amp;height=800&amp;_dd2=%26f%3Dsld%26c%3Dtrue%26os%3D2793809%26oe%3D2793815" TargetMode="External"/><Relationship Id="rId12" Type="http://schemas.openxmlformats.org/officeDocument/2006/relationships/hyperlink" Target="fdsup://factset/Doc%20Viewer%20Single?float_window=true&amp;positioning_strategy=center_on_screen&amp;_doc_docfn=U2FsdGVkX190tIZMNLRxsZ/DcdV2urzPoNa0Xt47okWcVoxqKe7MLcU7o61R8sSA1sOSCnCn95i2dXLOJxylKMTj3ECVR3X1bkCbwfE+OEQ=&amp;_app_id=central_doc_viewer&amp;center_on_screen=true&amp;width=950&amp;height=800&amp;_dd2=%26f%3Dsld%26c%3Dtrue%26os%3D69167%26oe%3D69173" TargetMode="External"/><Relationship Id="rId33" Type="http://schemas.openxmlformats.org/officeDocument/2006/relationships/hyperlink" Target="fdsup://factset/Doc%20Viewer%20Single?float_window=true&amp;positioning_strategy=center_on_screen&amp;_doc_docfn=U2FsdGVkX1+tAJS0XaldfPmRZnoHuXzv8o8sJ08pxcLgBFFHXNtv4MmdP37yTyqojJPrehsZ/5/mlp4YUtQwt751YzVFw4+aqw7UtlF5Oak=&amp;_app_id=central_doc_viewer&amp;center_on_screen=true&amp;width=950&amp;height=800&amp;_dd2=%26f%3Dsld%26c%3Dtrue%26os%3D63958%26oe%3D63964" TargetMode="External"/><Relationship Id="rId108" Type="http://schemas.openxmlformats.org/officeDocument/2006/relationships/hyperlink" Target="fdsup://factset/Doc%20Viewer%20Single?float_window=true&amp;positioning_strategy=center_on_screen&amp;_doc_docfn=U2FsdGVkX19lmCnAyjzvPYSiERV5dcvAzRO3SwBUI57M6/eei1kHDZhy6B+dGo3iDC9PZEMlXiD5+0qV7xlTgZ60HIyTQ/jSSv44HD3rtHk=&amp;_app_id=central_doc_viewer&amp;center_on_screen=true&amp;width=950&amp;height=800&amp;_dd2=%26f%3Dsld%26c%3Dtrue%26os%3D276238%26oe%3D276239" TargetMode="External"/><Relationship Id="rId129" Type="http://schemas.openxmlformats.org/officeDocument/2006/relationships/hyperlink" Target="fdsup://factset/Doc%20Viewer%20Single?float_window=true&amp;positioning_strategy=center_on_screen&amp;_doc_docfn=U2FsdGVkX185xyd8l8pIB2Ev+P61MRzTkt/7kysSpZnoU8qlJdC9w19HbnnpKala+B4QwzKLYrz74S4J/BzjhQgE9E9hWIWLr849CydG3Xg=&amp;_app_id=central_doc_viewer&amp;center_on_screen=true&amp;width=950&amp;height=800&amp;_dd2=%26f%3Dsld%26c%3Dtrue%26os%3D143666%26oe%3D143674" TargetMode="External"/><Relationship Id="rId54" Type="http://schemas.openxmlformats.org/officeDocument/2006/relationships/hyperlink" Target="fdsup://factset/Doc%20Viewer%20Single?float_window=true&amp;positioning_strategy=center_on_screen&amp;_doc_docfn=U2FsdGVkX1+mhFBrosoisFUa0fl53sKzuuuiF88d8MVQKiCrIQXVeW9vwcbdFMP6kE5W74c8U2l42aIBzI+FN/ao1e5SoUKQFn68KLbaf1Q=&amp;_app_id=central_doc_viewer&amp;center_on_screen=true&amp;width=950&amp;height=800&amp;_dd2=%26f%3Dsld%26c%3Dtrue%26os%3D67056%26oe%3D67061" TargetMode="External"/><Relationship Id="rId75" Type="http://schemas.openxmlformats.org/officeDocument/2006/relationships/hyperlink" Target="fdsup://factset/Doc%20Viewer%20Single?float_window=true&amp;positioning_strategy=center_on_screen&amp;_doc_docfn=U2FsdGVkX1/k4oG1hVBIffze6298A7n79j7wHpRhntBmHWOZ2Xjx78Hfvxj24Z4p2jxq+Yb/lwnV/nUMHjO4GVtWgGN3W3W3j2/JCaX2V0A=&amp;_app_id=central_doc_viewer&amp;center_on_screen=true&amp;width=950&amp;height=800&amp;_dd2=%26f%3Dsld%26c%3Dtrue%26os%3D135241%26oe%3D135248" TargetMode="External"/><Relationship Id="rId96" Type="http://schemas.openxmlformats.org/officeDocument/2006/relationships/hyperlink" Target="fdsup://factset/Doc%20Viewer%20Single?float_window=true&amp;positioning_strategy=center_on_screen&amp;_doc_docfn=U2FsdGVkX19TVA60TNTU5PSEEzeqBukkxyu802CddUJxwGpW0DxOWM7Kh7Sz4b72Cyn++3Pytb4GCqr0xjY/4zPTKFdGoosEVhK1UScjzAs=&amp;_app_id=central_doc_viewer&amp;center_on_screen=true&amp;width=950&amp;height=800&amp;_dd2=%26f%3Dsld%26c%3Dtrue%26os%3D270934%26oe%3D270939" TargetMode="External"/><Relationship Id="rId140" Type="http://schemas.openxmlformats.org/officeDocument/2006/relationships/hyperlink" Target="fdsup://factset/Doc%20Viewer%20Single?float_window=true&amp;positioning_strategy=center_on_screen&amp;_doc_docfn=U2FsdGVkX18RiinMG19bARte0EbQfRiey3JOFnMSbof59Whe1FX7soHE88XwdaiBcR0zpm2W1eHPNiTVbGsbASBjRJYXiEO68Y6LIKiuJD4=&amp;_app_id=central_doc_viewer&amp;center_on_screen=true&amp;width=950&amp;height=800&amp;_dd2=%26f%3Dsld%26c%3Dtrue%26os%3D74424%26oe%3D74429" TargetMode="External"/><Relationship Id="rId161" Type="http://schemas.openxmlformats.org/officeDocument/2006/relationships/hyperlink" Target="fdsup://factset/Doc%20Viewer%20Single?float_window=true&amp;positioning_strategy=center_on_screen&amp;_doc_docfn=U2FsdGVkX1+10l8hT9SZ3JwsA0G4QYUIBRP0aoUNxqx5vJWg+W60WQgx7YbtSChzziUilex7Csmv8bfgipneZEH+qHN8AEZDmpFV/N49RzI=&amp;_app_id=central_doc_viewer&amp;center_on_screen=true&amp;width=950&amp;height=800&amp;_dd2=%26f%3Dsld%26c%3Dtrue%26os%3D3329141%26oe%3D3329147" TargetMode="External"/><Relationship Id="rId182" Type="http://schemas.openxmlformats.org/officeDocument/2006/relationships/hyperlink" Target="fdsup://factset/Doc%20Viewer%20Single?float_window=true&amp;positioning_strategy=center_on_screen&amp;_doc_docfn=U2FsdGVkX19hEX+4yxgr29xbh/BCezwAJ7ZdFnnwrI0SflldnVbsPjePFrssFmG6txUQNtQz/sMnayeUTemTs4Zw/zNDleVRTK++g/e9PPs=&amp;_app_id=central_doc_viewer&amp;center_on_screen=true&amp;width=950&amp;height=800&amp;_dd2=%26f%3Dsld%26c%3Dtrue%26os%3D3348504%26oe%3D3348511" TargetMode="External"/><Relationship Id="rId6" Type="http://schemas.openxmlformats.org/officeDocument/2006/relationships/hyperlink" Target="fdsup://factset/Doc%20Viewer%20Single?float_window=true&amp;positioning_strategy=center_on_screen&amp;_doc_docfn=U2FsdGVkX18PQqkEh0qZwFtManSVa3DMb0S9FM25qw650pdhPDJLznwbhhORYvyZvayoA7Zz1kzd3hcHTXAMQh52bMpyv+MtO+1byIJ747s=&amp;_app_id=central_doc_viewer&amp;center_on_screen=true&amp;width=950&amp;height=800&amp;_dd2=%26f%3Dsld%26c%3Dtrue%26os%3D199930%26oe%3D199939" TargetMode="External"/><Relationship Id="rId23" Type="http://schemas.openxmlformats.org/officeDocument/2006/relationships/hyperlink" Target="fdsup://factset/Doc%20Viewer%20Single?float_window=true&amp;positioning_strategy=center_on_screen&amp;_doc_docfn=U2FsdGVkX1/xLHgcVwzn/7Wd1kapUqrygXD0iK6dcDFhZzV3NSQ3TEZ0+lKvv3ncHiWRtj87VNrV08Jt062z6KUobHWjjwGq4wOCRWiuI/c=&amp;_app_id=central_doc_viewer&amp;center_on_screen=true&amp;width=950&amp;height=800&amp;_dd2=%26f%3Dsld%26c%3Dtrue%26os%3D63195%26oe%3D63201" TargetMode="External"/><Relationship Id="rId119" Type="http://schemas.openxmlformats.org/officeDocument/2006/relationships/hyperlink" Target="fdsup://factset/Doc%20Viewer%20Single?float_window=true&amp;positioning_strategy=center_on_screen&amp;_doc_docfn=U2FsdGVkX18VJY/6FPumVCyrJ6f3afTNkwdQ5meQorP6E8zH1QGUU31iYge7uxwndR7sAm/5Qpv7YSaX8qBIlf9QGXmUjcVTJEK3VABVElI=&amp;_app_id=central_doc_viewer&amp;center_on_screen=true&amp;width=950&amp;height=800&amp;_dd2=%26f%3Dsld%26c%3Dtrue%26os%3D138314%26oe%3D138321" TargetMode="External"/><Relationship Id="rId44" Type="http://schemas.openxmlformats.org/officeDocument/2006/relationships/hyperlink" Target="fdsup://factset/Doc%20Viewer%20Single?float_window=true&amp;positioning_strategy=center_on_screen&amp;_doc_docfn=U2FsdGVkX18Rb7K1lPKCvbscGNONzQLmf9L685znne/2I6gpvf72Gau0nDt55N7Qd6B+YL5KjzAoYdZ6OujvRR4ACocyea4kSMpd0QEwP7o=&amp;_app_id=central_doc_viewer&amp;center_on_screen=true&amp;width=950&amp;height=800&amp;_dd2=%26f%3Dsld%26c%3Dtrue%26os%3D66264%26oe%3D66270" TargetMode="External"/><Relationship Id="rId65" Type="http://schemas.openxmlformats.org/officeDocument/2006/relationships/hyperlink" Target="fdsup://factset/Doc%20Viewer%20Single?float_window=true&amp;positioning_strategy=center_on_screen&amp;_doc_docfn=U2FsdGVkX19XbV77jLRqPnhVzRZpPJOFi/dnoNlr2PSw1lNm3+ixx+UfmW0DA4JPgBoDfemtFoXWJD8vHL6c+Nz4B0Uqwg67BMpi1WVUwHA=&amp;_app_id=central_doc_viewer&amp;center_on_screen=true&amp;width=950&amp;height=800&amp;_dd2=%26f%3Dsld%26c%3Dtrue%26os%3D139213%26oe%3D139214" TargetMode="External"/><Relationship Id="rId86" Type="http://schemas.openxmlformats.org/officeDocument/2006/relationships/hyperlink" Target="fdsup://factset/Doc%20Viewer%20Single?float_window=true&amp;positioning_strategy=center_on_screen&amp;_doc_docfn=U2FsdGVkX18cL6nxGDDFIWRtocG0p8j3gK0Lfp5Oj/rCQ/cLwvaExQB6kHPQfRhYOxTJuctTLsc7OF6q1co0j5qyMXQwn9L2o3/0PoFm7aA=&amp;_app_id=central_doc_viewer&amp;center_on_screen=true&amp;width=950&amp;height=800&amp;_dd2=%26f%3Dsld%26c%3Dtrue%26os%3D268264%26oe%3D268270" TargetMode="External"/><Relationship Id="rId130" Type="http://schemas.openxmlformats.org/officeDocument/2006/relationships/hyperlink" Target="fdsup://factset/Doc%20Viewer%20Single?float_window=true&amp;positioning_strategy=center_on_screen&amp;_doc_docfn=U2FsdGVkX19lVmFZY1MUCHqlVJncoCx0CL0im7WQz2tE0sGfo8/5U9w8EZAz0nVmtZnseIPvI/FCB5vc6PlCkLYZuqd9cSLi/KpIHFwYe1o=&amp;_app_id=central_doc_viewer&amp;center_on_screen=true&amp;width=950&amp;height=800&amp;_dd2=%26f%3Dsld%26c%3Dtrue%26os%3D142489%26oe%3D142495" TargetMode="External"/><Relationship Id="rId151" Type="http://schemas.openxmlformats.org/officeDocument/2006/relationships/hyperlink" Target="fdsup://factset/Doc%20Viewer%20Single?float_window=true&amp;positioning_strategy=center_on_screen&amp;_doc_docfn=U2FsdGVkX18BQimeYyr24xSJDSEuic+A8MN9EIYEqB1aR+aQ7WyoafwLn7goPXDwFHnO3SNnyPGi8PTuT/1wGghzvBIVSdCFCMoWWYCReJU=&amp;_app_id=central_doc_viewer&amp;center_on_screen=true&amp;width=950&amp;height=800&amp;_dd2=%26f%3Dsld%26c%3Dtrue%26os%3D2869285%26oe%3D2869294" TargetMode="External"/><Relationship Id="rId172" Type="http://schemas.openxmlformats.org/officeDocument/2006/relationships/hyperlink" Target="fdsup://factset/Doc%20Viewer%20Single?float_window=true&amp;positioning_strategy=center_on_screen&amp;_doc_docfn=U2FsdGVkX1/pKAbZ10VSSn7JCywY1NMzhz1GSIppAKPPFO3p0ARhttgY7rwtWK//KgQNN5y41FvZsx/zLfFieobRR3mLfShedAVD1UnZwQg=&amp;_app_id=central_doc_viewer&amp;center_on_screen=true&amp;width=950&amp;height=800&amp;_dd2=%26f%3Dsld%26c%3Dtrue%26os%3D2889401%26oe%3D2889408" TargetMode="External"/><Relationship Id="rId13" Type="http://schemas.openxmlformats.org/officeDocument/2006/relationships/hyperlink" Target="fdsup://factset/Doc%20Viewer%20Single?float_window=true&amp;positioning_strategy=center_on_screen&amp;_doc_docfn=U2FsdGVkX1+6h5iuNo0VDrXZWUDR3CdQSPzFQxkITnRQ9TT4yDNRTTE+EjdAjar+fp1kMgOOe4KDtPF4tsd7KMWUWthK2vMkLXLphCFcT1o=&amp;_app_id=central_doc_viewer&amp;center_on_screen=true&amp;width=950&amp;height=800&amp;_dd2=%26f%3Dsld%26c%3Dtrue%26os%3D67074%26oe%3D67080" TargetMode="External"/><Relationship Id="rId18" Type="http://schemas.openxmlformats.org/officeDocument/2006/relationships/hyperlink" Target="fdsup://factset/Doc%20Viewer%20Single?float_window=true&amp;positioning_strategy=center_on_screen&amp;_doc_docfn=U2FsdGVkX1/xCLgPzlA9EVMVq7idE7WDQK880o0fiy1lgR3xOj6bvVPGTKv9RyEd40PKvfXyLxoTrv6lO8RltToEHLmAxNB5F906cGfgp9Q=&amp;_app_id=central_doc_viewer&amp;center_on_screen=true&amp;width=950&amp;height=800&amp;_dd2=%26f%3Dsld%26c%3Dtrue%26os%3D138734%26oe%3D138741" TargetMode="External"/><Relationship Id="rId39" Type="http://schemas.openxmlformats.org/officeDocument/2006/relationships/hyperlink" Target="fdsup://factset/Doc%20Viewer%20Single?float_window=true&amp;positioning_strategy=center_on_screen&amp;_doc_docfn=U2FsdGVkX1/Nmy8p3N3R/SrWfbOUFugJEfjGvXlnfFxbEJWRkruc/Unf+GmFHIjRIhBHin+sVtyDu+qYooCUqTS5PWAGCmBzdC5oCWkHHYo=&amp;_app_id=central_doc_viewer&amp;center_on_screen=true&amp;width=950&amp;height=800&amp;_dd2=%26f%3Dsld%26c%3Dtrue%26os%3D135167%26oe%3D135173" TargetMode="External"/><Relationship Id="rId109" Type="http://schemas.openxmlformats.org/officeDocument/2006/relationships/hyperlink" Target="fdsup://factset/Doc%20Viewer%20Single?float_window=true&amp;positioning_strategy=center_on_screen&amp;_doc_docfn=U2FsdGVkX1+wCnbHdHhv+MimH/4Jizf5H7cEfUd11LqOzpcV150ITbIcWLoilW89t2FDgczJjiEG00GM2+9R9QddtgCccflFeuD+X4QHSV0=&amp;_app_id=central_doc_viewer&amp;center_on_screen=true&amp;width=950&amp;height=800&amp;_dd2=%26f%3Dsld%26c%3Dtrue%26os%3D74120%26oe%3D74121" TargetMode="External"/><Relationship Id="rId34" Type="http://schemas.openxmlformats.org/officeDocument/2006/relationships/hyperlink" Target="fdsup://factset/Doc%20Viewer%20Single?float_window=true&amp;positioning_strategy=center_on_screen&amp;_doc_docfn=U2FsdGVkX1+QldbMQ/fny78mbpaTpepLYk2mn2owmrYb14zRPZBHggfwI+KIynfRrXf/s1V62dASgatNzReadaka8STVA7bLgHMn31ow6uU=&amp;_app_id=central_doc_viewer&amp;center_on_screen=true&amp;width=950&amp;height=800&amp;_dd2=%26f%3Dsld%26c%3Dtrue%26os%3D65477%26oe%3D65483" TargetMode="External"/><Relationship Id="rId50" Type="http://schemas.openxmlformats.org/officeDocument/2006/relationships/hyperlink" Target="fdsup://factset/Doc%20Viewer%20Single?float_window=true&amp;positioning_strategy=center_on_screen&amp;_doc_docfn=U2FsdGVkX1+3/VtfZpcUusWNzMTlwzhsMzQBqin2O4pVVkECOzHbgk8kB1BWGcO8TfSVc5YfQZtUb7xOy/bTb0NoQmnBLtNBqip2VwkXNHA=&amp;_app_id=central_doc_viewer&amp;center_on_screen=true&amp;width=950&amp;height=800&amp;_dd2=%26f%3Dsld%26c%3Dtrue%26os%3D133064%26oe%3D133070" TargetMode="External"/><Relationship Id="rId55" Type="http://schemas.openxmlformats.org/officeDocument/2006/relationships/hyperlink" Target="fdsup://factset/Doc%20Viewer%20Single?float_window=true&amp;positioning_strategy=center_on_screen&amp;_doc_docfn=U2FsdGVkX18w6EwwRZqM37tnSro++25mLvYaFo40tK5GJSIRW0up8oWjZYxv7XQOng1J9IsX/ogqpdVVc5iF8btUMC7X+KTj/ULvanYtroc=&amp;_app_id=central_doc_viewer&amp;center_on_screen=true&amp;width=950&amp;height=800&amp;_dd2=%26f%3Dsld%26c%3Dtrue%26os%3D137956%26oe%3D137961" TargetMode="External"/><Relationship Id="rId76" Type="http://schemas.openxmlformats.org/officeDocument/2006/relationships/hyperlink" Target="fdsup://factset/Doc%20Viewer%20Single?float_window=true&amp;positioning_strategy=center_on_screen&amp;_doc_docfn=U2FsdGVkX18rqAeLB0LphhiOFFyv4uFLBo6WF44xFmlJSUbRMemhxGy9wIJZ4Ira/84tqVewdrK1UD+JSe8oFzAWg2Sk9BHE4mkBqBzBO4M=&amp;_app_id=central_doc_viewer&amp;center_on_screen=true&amp;width=950&amp;height=800&amp;_dd2=%26f%3Dsld%26c%3Dtrue%26os%3D265640%26oe%3D265643" TargetMode="External"/><Relationship Id="rId97" Type="http://schemas.openxmlformats.org/officeDocument/2006/relationships/hyperlink" Target="fdsup://factset/Doc%20Viewer%20Single?float_window=true&amp;positioning_strategy=center_on_screen&amp;_doc_docfn=U2FsdGVkX1+QJsAXlFetMUGdxgX/i77jhzEADT8M2qFLcVoEgEhUZqN+5ttuiW39dAFv7FoWJa4BL4ecBgK1aW6LrGfdgxOMZRMieOv+B+U=&amp;_app_id=central_doc_viewer&amp;center_on_screen=true&amp;width=950&amp;height=800&amp;_dd2=%26f%3Dsld%26c%3Dtrue%26os%3D72498%26oe%3D72503" TargetMode="External"/><Relationship Id="rId104" Type="http://schemas.openxmlformats.org/officeDocument/2006/relationships/hyperlink" Target="fdsup://factset/Doc%20Viewer%20Single?float_window=true&amp;positioning_strategy=center_on_screen&amp;_doc_docfn=U2FsdGVkX1/ceiMhiLr58p+L1DZI8tBf0HhkXL63otO3HuQpkOdoOVoiWUrGkDSz0LDzqJ6Krp1uoZ07DcSt0S4jC3ihAiG0s5Wc4MLtQE4=&amp;_app_id=central_doc_viewer&amp;center_on_screen=true&amp;width=950&amp;height=800&amp;_dd2=%26f%3Dsld%26c%3Dtrue%26os%3D140424%26oe%3D140430" TargetMode="External"/><Relationship Id="rId120" Type="http://schemas.openxmlformats.org/officeDocument/2006/relationships/hyperlink" Target="fdsup://factset/Doc%20Viewer%20Single?float_window=true&amp;positioning_strategy=center_on_screen&amp;_doc_docfn=U2FsdGVkX1/PDMLSEWlQpstRJqB/l7HKFVTDsFXuMkUFZrGdXk4AXwFijxIX65PxfzXvp9KWzIUvdaya6S2BCZh+VZdolbUvIDQtDi214sw=&amp;_app_id=central_doc_viewer&amp;center_on_screen=true&amp;width=950&amp;height=800&amp;_dd2=%26f%3Dsld%26c%3Dtrue%26os%3D282798%26oe%3D282801" TargetMode="External"/><Relationship Id="rId125" Type="http://schemas.openxmlformats.org/officeDocument/2006/relationships/hyperlink" Target="fdsup://factset/Doc%20Viewer%20Single?float_window=true&amp;positioning_strategy=center_on_screen&amp;_doc_docfn=U2FsdGVkX19e9t3YMkLBKTp9sRWfY2ghbwOX6W6p+xTyeiloYE6F3nZCJL7PRdwipyTg18lywyVxja3XgMm/Ov1MVxXDfY3SYlA+y1DSDgo=&amp;_app_id=central_doc_viewer&amp;center_on_screen=true&amp;width=950&amp;height=800&amp;_dd2=%26f%3Dsld%26c%3Dtrue%26os%3D72788%26oe%3D72794" TargetMode="External"/><Relationship Id="rId141" Type="http://schemas.openxmlformats.org/officeDocument/2006/relationships/hyperlink" Target="fdsup://factset/Doc%20Viewer%20Single?float_window=true&amp;positioning_strategy=center_on_screen&amp;_doc_docfn=U2FsdGVkX1+r2b4BwLtZ2ee0ZwQEC+NzRa2bp0yDKSCfFGVeRIsRawVGrThKFsw0sf0XPf3vVxn76qr3b6+CIgKIwkrSH1NL4w2onnN6g60=&amp;_app_id=central_doc_viewer&amp;center_on_screen=true&amp;width=950&amp;height=800&amp;_dd2=%26f%3Dsld%26c%3Dtrue%26os%3D144830%26oe%3D144835" TargetMode="External"/><Relationship Id="rId146" Type="http://schemas.openxmlformats.org/officeDocument/2006/relationships/hyperlink" Target="fdsup://factset/Doc%20Viewer%20Single?float_window=true&amp;positioning_strategy=center_on_screen&amp;_doc_docfn=U2FsdGVkX18ssds4tF4pK3ykkSzgSHv8rZjkcgbOEQRDYBmXZxAGXUtr/GMTRua6RpYUREbOESVCWfCeYD9PqD+6u4/P4frxi1IOJgFRSrc=&amp;_app_id=central_doc_viewer&amp;center_on_screen=true&amp;width=950&amp;height=800&amp;_dd2=%26f%3Dsld%26c%3Dtrue%26os%3D139793%26oe%3D139797" TargetMode="External"/><Relationship Id="rId167" Type="http://schemas.openxmlformats.org/officeDocument/2006/relationships/hyperlink" Target="fdsup://factset/Doc%20Viewer%20Single?float_window=true&amp;positioning_strategy=center_on_screen&amp;_doc_docfn=U2FsdGVkX1/H0xIK6vBZy0FqqnsmGK+Y3EzWeu4sANbR5LqRph7Ihm0MpWBQ++nAvrqgpOqp+5zGbynZX6zmLk3BTbFgqA65EIAFdqBkU3o=&amp;_app_id=central_doc_viewer&amp;center_on_screen=true&amp;width=950&amp;height=800&amp;_dd2=%26f%3Dsld%26c%3Dtrue%26os%3D3146378%26oe%3D3146381" TargetMode="External"/><Relationship Id="rId188" Type="http://schemas.openxmlformats.org/officeDocument/2006/relationships/hyperlink" Target="fdsup://factset/Doc%20Viewer%20Single?float_window=true&amp;positioning_strategy=center_on_screen&amp;_doc_docfn=U2FsdGVkX19fvfl8jtQVXQS4LrzNXZasivOkqhYGi4SWeQNtokih1onRplD0HDOGBnmJaALz4poEg8dR2006UHybcltWU8JtzdKOFQ0qUtQ=&amp;_app_id=central_doc_viewer&amp;center_on_screen=true&amp;width=950&amp;height=800&amp;_dd2=%26f%3Dsld%26c%3Dtrue%26os%3D3167580%26oe%3D3167585" TargetMode="External"/><Relationship Id="rId7" Type="http://schemas.openxmlformats.org/officeDocument/2006/relationships/hyperlink" Target="fdsup://factset/Doc%20Viewer%20Single?float_window=true&amp;positioning_strategy=center_on_screen&amp;_doc_docfn=U2FsdGVkX1/6eKvKVG78nRzc0paD/6hbGbIyTKWiO/YL+vz3mFMIFZYpEB8qdlLa1zuOgvzbiW+VE40h400OorytKW9s19ZQtLd7YiukjyY=&amp;_app_id=central_doc_viewer&amp;center_on_screen=true&amp;width=950&amp;height=800&amp;_dd2=%26f%3Dsld%26c%3Dtrue%26os%3D135302%26oe%3D135311" TargetMode="External"/><Relationship Id="rId71" Type="http://schemas.openxmlformats.org/officeDocument/2006/relationships/hyperlink" Target="fdsup://factset/Doc%20Viewer%20Single?float_window=true&amp;positioning_strategy=center_on_screen&amp;_doc_docfn=U2FsdGVkX1+48z1+4dpNrR3Btio4Xl7NiytK1JMtAF5CD2jjGH4hJtWRtSI0JwipeM08zKa+JeQsztHa4Lv76wdi/44Jrp2YrsaVLhAdCCc=&amp;_app_id=central_doc_viewer&amp;center_on_screen=true&amp;width=950&amp;height=800&amp;_dd2=%26f%3Dsld%26c%3Dtrue%26os%3D205259%26oe%3D205265" TargetMode="External"/><Relationship Id="rId92" Type="http://schemas.openxmlformats.org/officeDocument/2006/relationships/hyperlink" Target="fdsup://factset/Doc%20Viewer%20Single?float_window=true&amp;positioning_strategy=center_on_screen&amp;_doc_docfn=U2FsdGVkX18pCM431ow/OY1sBYqvdeo0rWqaGIZemKJQW+xAjSiPll0rxfJI8GbmKnICMuLM0TzLnXUghu3MSgczHZb8zgx82ummUyhhLcA=&amp;_app_id=central_doc_viewer&amp;center_on_screen=true&amp;width=950&amp;height=800&amp;_dd2=%26f%3Dsld%26c%3Dtrue%26os%3D142111%26oe%3D142117" TargetMode="External"/><Relationship Id="rId162" Type="http://schemas.openxmlformats.org/officeDocument/2006/relationships/hyperlink" Target="fdsup://factset/Doc%20Viewer%20Single?float_window=true&amp;positioning_strategy=center_on_screen&amp;_doc_docfn=U2FsdGVkX182WA5PEoFnrvWijCOwigVTdgzs/rqWius0KK7GmoJTHEXCCinA5bDOa90Q0n+a/8a3j7X13DNfgyvk+bznwWLhRZUTAs3Wf4Y=&amp;_app_id=central_doc_viewer&amp;center_on_screen=true&amp;width=950&amp;height=800&amp;_dd2=%26f%3Dsld%26c%3Dtrue%26os%3D3645646%26oe%3D3645652" TargetMode="External"/><Relationship Id="rId183" Type="http://schemas.openxmlformats.org/officeDocument/2006/relationships/hyperlink" Target="fdsup://factset/Doc%20Viewer%20Single?float_window=true&amp;positioning_strategy=center_on_screen&amp;_doc_docfn=U2FsdGVkX1+sKx5gb38bT0cXdxgKkagu/A2FEL07SSw4kj4zT+jaRlEdUZNkZjOVAwaKmnItlvqoYFIbdLbFJz6i76yWDFu0AzGAzIzYL2w=&amp;_app_id=central_doc_viewer&amp;center_on_screen=true&amp;width=950&amp;height=800&amp;_dd2=%26f%3Dsld%26c%3Dtrue%26os%3D3660211%26oe%3D3660218" TargetMode="External"/><Relationship Id="rId2" Type="http://schemas.openxmlformats.org/officeDocument/2006/relationships/hyperlink" Target="fdsup://factset/Doc%20Viewer%20Single?float_window=true&amp;positioning_strategy=center_on_screen&amp;_doc_docfn=U2FsdGVkX1/+bc3JeZptmUJ0TCY1g84BMZ41BEceVjKVgpvoExQTPHpm2Gp5UxEaXEppdbY8T9apcbvdnNyc4KetM/duzAP6Unz0RTQ0w3c=&amp;_app_id=central_doc_viewer&amp;center_on_screen=true&amp;width=950&amp;height=800&amp;_dd2=%26f%3Dsld%26c%3Dtrue%26os%3D64953%26oe%3D64959" TargetMode="External"/><Relationship Id="rId29" Type="http://schemas.openxmlformats.org/officeDocument/2006/relationships/hyperlink" Target="fdsup://factset/Doc%20Viewer%20Single?float_window=true&amp;positioning_strategy=center_on_screen&amp;_doc_docfn=U2FsdGVkX1/iNzhutW15mB6QD+iqz5F/WfG6AufOP3HTgfCaWRz896nOu8UN5HXFDzoQvE0gzFVBGFZpYAje/3gcm71u47XYUfojA5Coe+4=&amp;_app_id=central_doc_viewer&amp;center_on_screen=true&amp;width=950&amp;height=800&amp;_dd2=%26f%3Dsld%26c%3Dtrue%26os%3D134455%26oe%3D134462" TargetMode="External"/><Relationship Id="rId24" Type="http://schemas.openxmlformats.org/officeDocument/2006/relationships/hyperlink" Target="fdsup://factset/Doc%20Viewer%20Single?float_window=true&amp;positioning_strategy=center_on_screen&amp;_doc_docfn=U2FsdGVkX18K/FBvqFjjujuR4fuHElolRIpWLFj/m/+oj4W2gMpYT+aaUTaz2RphFewbK7V019PG2gKHBI1p5iZIr8tqsut3XddIzMItTwk=&amp;_app_id=central_doc_viewer&amp;center_on_screen=true&amp;width=950&amp;height=800&amp;_dd2=%26f%3Dsld%26c%3Dtrue%26os%3D64714%26oe%3D64720" TargetMode="External"/><Relationship Id="rId40" Type="http://schemas.openxmlformats.org/officeDocument/2006/relationships/hyperlink" Target="fdsup://factset/Doc%20Viewer%20Single?float_window=true&amp;positioning_strategy=center_on_screen&amp;_doc_docfn=U2FsdGVkX1+bF9IekvpmW2LWG0hBJrzxS+uZ8RswSTzx4rIhnvksKTFfNehFsQvbsRXp+NfClsZv+Wc65Wy7HMAktHtKBdTEWnOtn9hUXRM=&amp;_app_id=central_doc_viewer&amp;center_on_screen=true&amp;width=950&amp;height=800&amp;_dd2=%26f%3Dsld%26c%3Dtrue%26os%3D132333%26oe%3D132339" TargetMode="External"/><Relationship Id="rId45" Type="http://schemas.openxmlformats.org/officeDocument/2006/relationships/hyperlink" Target="fdsup://factset/Doc%20Viewer%20Single?float_window=true&amp;positioning_strategy=center_on_screen&amp;_doc_docfn=U2FsdGVkX18lROn2hjTA5/dfewg15XUQCUuDzWtbrDeZ7/dXR6WNWTORWI3/uvBnPXpvWog9H0p8a5PjNewrLuiQcN65BeqK7hXMkJZvCw4=&amp;_app_id=central_doc_viewer&amp;center_on_screen=true&amp;width=950&amp;height=800&amp;_dd2=%26f%3Dsld%26c%3Dtrue%26os%3D137220%26oe%3D137226" TargetMode="External"/><Relationship Id="rId66" Type="http://schemas.openxmlformats.org/officeDocument/2006/relationships/hyperlink" Target="fdsup://factset/Doc%20Viewer%20Single?float_window=true&amp;positioning_strategy=center_on_screen&amp;_doc_docfn=U2FsdGVkX1+qjBaa+zPXuIQBfIC1z+RgEJxp9S80PUd1b1ndtMfM+5ShL07DGsNU907A5MImj89kXATDv+RfpU4Zj8GBrlUzI/K70XX1xYM=&amp;_app_id=central_doc_viewer&amp;center_on_screen=true&amp;width=950&amp;height=800&amp;_dd2=%26f%3Dsld%26c%3Dtrue%26os%3D262908%26oe%3D262914" TargetMode="External"/><Relationship Id="rId87" Type="http://schemas.openxmlformats.org/officeDocument/2006/relationships/hyperlink" Target="fdsup://factset/Doc%20Viewer%20Single?float_window=true&amp;positioning_strategy=center_on_screen&amp;_doc_docfn=U2FsdGVkX1+lxTKgHHr8wOL9om/kIkYfKQ9/dQ5t328EBKspqs20KVx3W8qW3ZITgKvyAvoo/3+nmCG6pU4fiYpx1lnZltWLbnN883hudIw=&amp;_app_id=central_doc_viewer&amp;center_on_screen=true&amp;width=950&amp;height=800&amp;_dd2=%26f%3Dsld%26c%3Dtrue%26os%3D71552%26oe%3D71558" TargetMode="External"/><Relationship Id="rId110" Type="http://schemas.openxmlformats.org/officeDocument/2006/relationships/hyperlink" Target="fdsup://factset/Doc%20Viewer%20Single?float_window=true&amp;positioning_strategy=center_on_screen&amp;_doc_docfn=U2FsdGVkX1+GtYti6QfKi2BKreqPNoZHsmx93+WxSIc8DBQjufz69IgC0pTVK5bgCjrlgKnRt7IX7a5KZS48qnDsd5xoMDnq+nSXFsm78ig=&amp;_app_id=central_doc_viewer&amp;center_on_screen=true&amp;width=950&amp;height=800&amp;_dd2=%26f%3Dsld%26c%3Dtrue%26os%3D279967%26oe%3D279973" TargetMode="External"/><Relationship Id="rId115" Type="http://schemas.openxmlformats.org/officeDocument/2006/relationships/hyperlink" Target="fdsup://factset/Doc%20Viewer%20Single?float_window=true&amp;positioning_strategy=center_on_screen&amp;_doc_docfn=U2FsdGVkX19BPSafOp57f7bc2wfGkSFm+xKzQ+uDx/n6KR8OtmST6V1/ot+rTNjkfPpFJKRnxM0l1oLq/aNYPzJSh2rBis0ELWTrJGrBI9s=&amp;_app_id=central_doc_viewer&amp;center_on_screen=true&amp;width=950&amp;height=800&amp;_dd2=%26f%3Dsld%26c%3Dtrue%26os%3D208368%26oe%3D208376" TargetMode="External"/><Relationship Id="rId131" Type="http://schemas.openxmlformats.org/officeDocument/2006/relationships/hyperlink" Target="fdsup://factset/Doc%20Viewer%20Single?float_window=true&amp;positioning_strategy=center_on_screen&amp;_doc_docfn=U2FsdGVkX18oa05/ztPKny5Fs6WL0CLyWHoFBNtZxVhLXCg5Lme7uqhZZ2fqVcZP86RyqlgDKPmx5hQNdfCOjwArgIMVE+l1mmewISLThPo=&amp;_app_id=central_doc_viewer&amp;center_on_screen=true&amp;width=950&amp;height=800&amp;_dd2=%26f%3Dsld%26c%3Dtrue%26os%3D141124%26oe%3D141132" TargetMode="External"/><Relationship Id="rId136" Type="http://schemas.openxmlformats.org/officeDocument/2006/relationships/hyperlink" Target="fdsup://factset/Doc%20Viewer%20Single?float_window=true&amp;positioning_strategy=center_on_screen&amp;_doc_docfn=U2FsdGVkX19wgxkj+SQ2UsWYpqIggjdpCzYrH5LmqQ3ZChCud833oB8cWkqG5gH7Ly3nOcJxCmLGPdeq8j/JRCOsU7FOV26VejB9TB/y5CI=&amp;_app_id=central_doc_viewer&amp;center_on_screen=true&amp;width=950&amp;height=800&amp;_dd2=%26f%3Dsld%26c%3Dtrue%26os%3D144455%26oe%3D144463" TargetMode="External"/><Relationship Id="rId157" Type="http://schemas.openxmlformats.org/officeDocument/2006/relationships/hyperlink" Target="fdsup://factset/Doc%20Viewer%20Single?float_window=true&amp;positioning_strategy=center_on_screen&amp;_doc_docfn=U2FsdGVkX18q8RZsp7IiKO1NTTPCQRiPxGCSNQrs3gueqSS2G98eqlC963dwdvM5m/hIX9A/pJs3Hdw9OqJroHtP4N9FMHGGv+O4RL0e9IQ=&amp;_app_id=central_doc_viewer&amp;center_on_screen=true&amp;width=950&amp;height=800&amp;_dd2=%26f%3Dsld%26c%3Dtrue%26os%3D2782164%26oe%3D2782171" TargetMode="External"/><Relationship Id="rId178" Type="http://schemas.openxmlformats.org/officeDocument/2006/relationships/hyperlink" Target="fdsup://factset/Doc%20Viewer%20Single?float_window=true&amp;positioning_strategy=center_on_screen&amp;_doc_docfn=U2FsdGVkX188vQB6ZHO/X7fdYsZ9yTKDPOKgDMkz6hQtX+0krjEJ/KPjiGGp0XYd9jMAKWUya898XH4SnlHAGtYFc93K64hZO5UhvLxHvVM=&amp;_app_id=central_doc_viewer&amp;center_on_screen=true&amp;width=950&amp;height=800&amp;_dd2=%26f%3Dsld%26c%3Dtrue%26os%3D2797134%26oe%3D2797141" TargetMode="External"/><Relationship Id="rId61" Type="http://schemas.openxmlformats.org/officeDocument/2006/relationships/hyperlink" Target="fdsup://factset/Doc%20Viewer%20Single?float_window=true&amp;positioning_strategy=center_on_screen&amp;_doc_docfn=U2FsdGVkX19xRzzvg7ORXx+9UltGZX7Fh6yGkN+jyKSVgZmWb3KbQz5Z6BCi1JNAU0ulcJ/VPFx02mHHcrQLvfkiWMPkyWYX1BozQCZ/Hag=&amp;_app_id=central_doc_viewer&amp;center_on_screen=true&amp;width=950&amp;height=800&amp;_dd2=%26f%3Dsld%26c%3Dtrue%26os%3D66326%26oe%3D66331" TargetMode="External"/><Relationship Id="rId82" Type="http://schemas.openxmlformats.org/officeDocument/2006/relationships/hyperlink" Target="fdsup://factset/Doc%20Viewer%20Single?float_window=true&amp;positioning_strategy=center_on_screen&amp;_doc_docfn=U2FsdGVkX1+X5cglGZjGxt63nNM0092UqObhaGnk6HdDccoOUQWHVsoGFkX7BUgpwxNAlCJa/KVgRHq5xrAQBDd0Qi6SZM+gaqqYglKIo88=&amp;_app_id=central_doc_viewer&amp;center_on_screen=true&amp;width=950&amp;height=800&amp;_dd2=%26f%3Dsld%26c%3Dtrue%26os%3D141340%26oe%3D141346" TargetMode="External"/><Relationship Id="rId152" Type="http://schemas.openxmlformats.org/officeDocument/2006/relationships/hyperlink" Target="fdsup://factset/Doc%20Viewer%20Single?float_window=true&amp;positioning_strategy=center_on_screen&amp;_doc_docfn=U2FsdGVkX1+d5LBF46h86VsCYxDYylqdBUjVA9VrsnvtoH35W6QRS/oo7QgqFnbeUwKxJix3nP7OqU+bMztzITBsmnqyu4oYv5wQ522Ev3g=&amp;_app_id=central_doc_viewer&amp;center_on_screen=true&amp;width=950&amp;height=800&amp;_dd2=%26f%3Dsld%26c%3Dtrue%26os%3D1022634%26oe%3D1022639" TargetMode="External"/><Relationship Id="rId173" Type="http://schemas.openxmlformats.org/officeDocument/2006/relationships/hyperlink" Target="fdsup://factset/Doc%20Viewer%20Single?float_window=true&amp;positioning_strategy=center_on_screen&amp;_doc_docfn=U2FsdGVkX18ERypGTWgTAOU64I2opQ+LOz2A9ld+hr7DoC5XGKfTQIeK92FeIyWJq6pp4eWGyYHUODhDl9A8c4RvhjNH+QTzUsq8rfKs1WQ=&amp;_app_id=central_doc_viewer&amp;center_on_screen=true&amp;width=950&amp;height=800&amp;_dd2=%26f%3Dsld%26c%3Dtrue%26os%3D1044536%26oe%3D1044539" TargetMode="External"/><Relationship Id="rId19" Type="http://schemas.openxmlformats.org/officeDocument/2006/relationships/hyperlink" Target="fdsup://factset/Doc%20Viewer%20Single?float_window=true&amp;positioning_strategy=center_on_screen&amp;_doc_docfn=U2FsdGVkX1/EC41au6exT+AbodwCoBHq97hFZjsdWIKrWbbsUi+gfIDQly87PhmN3maQwriwooWvECS1rAxN5bUhsiDzSreKLMAEQycrUq0=&amp;_app_id=central_doc_viewer&amp;center_on_screen=true&amp;width=950&amp;height=800&amp;_dd2=%26f%3Dsld%26c%3Dtrue%26os%3D137367%26oe%3D137374" TargetMode="External"/><Relationship Id="rId14" Type="http://schemas.openxmlformats.org/officeDocument/2006/relationships/hyperlink" Target="fdsup://factset/Doc%20Viewer%20Single?float_window=true&amp;positioning_strategy=center_on_screen&amp;_doc_docfn=U2FsdGVkX19xfFZbpQIwe7ODpHi214I54uF4tJbc/+sEYARpEEToOQjZvDYNUeDnFTqnX3Z8BSdayi4xXVb0g7ho3i8UPGwK0HRD4XF0ErQ=&amp;_app_id=central_doc_viewer&amp;center_on_screen=true&amp;width=950&amp;height=800&amp;_dd2=%26f%3Dsld%26c%3Dtrue%26os%3D68610%26oe%3D68617" TargetMode="External"/><Relationship Id="rId30" Type="http://schemas.openxmlformats.org/officeDocument/2006/relationships/hyperlink" Target="fdsup://factset/Doc%20Viewer%20Single?float_window=true&amp;positioning_strategy=center_on_screen&amp;_doc_docfn=U2FsdGVkX19ibw7qNHZwkRQTZOWMUKHp/NzjUy6x/i6jsNX2rUuC81Led1sKlQnvqHn6H1J7E6IYSZS9axDpVfny4nRlyXTr+9xqLWhlcTQ=&amp;_app_id=central_doc_viewer&amp;center_on_screen=true&amp;width=950&amp;height=800&amp;_dd2=%26f%3Dsld%26c%3Dtrue%26os%3D131621%26oe%3D131628" TargetMode="External"/><Relationship Id="rId35" Type="http://schemas.openxmlformats.org/officeDocument/2006/relationships/hyperlink" Target="fdsup://factset/Doc%20Viewer%20Single?float_window=true&amp;positioning_strategy=center_on_screen&amp;_doc_docfn=U2FsdGVkX18I5QBW46IAjMV3Ba/FLdqmUz9pnFlyFlekXX49alwy/9QQawTxAW7E/FiavwXw7Y5ICEwiFoS7WyEGmgMvcCUHXEvomibeiJ8=&amp;_app_id=central_doc_viewer&amp;center_on_screen=true&amp;width=950&amp;height=800&amp;_dd2=%26f%3Dsld%26c%3Dtrue%26os%3D136489%26oe%3D136495" TargetMode="External"/><Relationship Id="rId56" Type="http://schemas.openxmlformats.org/officeDocument/2006/relationships/hyperlink" Target="fdsup://factset/Doc%20Viewer%20Single?float_window=true&amp;positioning_strategy=center_on_screen&amp;_doc_docfn=U2FsdGVkX19O8QAE9FuPWeKDXEFFuXR8irat/s65oyzJf+u1iuHhncLEzi/8CMzZAOrM4m9BUOt998j0m/ZgZqyU0fXrM/1W1jhn5LvvXBU=&amp;_app_id=central_doc_viewer&amp;center_on_screen=true&amp;width=950&amp;height=800&amp;_dd2=%26f%3Dsld%26c%3Dtrue%26os%3D203109%26oe%3D203115" TargetMode="External"/><Relationship Id="rId77" Type="http://schemas.openxmlformats.org/officeDocument/2006/relationships/hyperlink" Target="fdsup://factset/Doc%20Viewer%20Single?float_window=true&amp;positioning_strategy=center_on_screen&amp;_doc_docfn=U2FsdGVkX19SsOWtH2mUfzUYq84DAj21gCXlJMMiB8Xn7axvwATlyGm/BBn+5yePezfy4QL/u6j5xoAL/xmhrQEA/deALNv+JS+CeLee2DU=&amp;_app_id=central_doc_viewer&amp;center_on_screen=true&amp;width=950&amp;height=800&amp;_dd2=%26f%3Dsld%26c%3Dtrue%26os%3D70697%26oe%3D70700" TargetMode="External"/><Relationship Id="rId100" Type="http://schemas.openxmlformats.org/officeDocument/2006/relationships/hyperlink" Target="fdsup://factset/Doc%20Viewer%20Single?float_window=true&amp;positioning_strategy=center_on_screen&amp;_doc_docfn=U2FsdGVkX19GtN0YrteBM9fOLYJ9sq1LOjMGglSsqFWeXnkYtRvpVNNYOssHKoBNRV4GSsplrIUiI3Q4XnL4SoAM3xLI4fH+0ZRHOu4i6+M=&amp;_app_id=central_doc_viewer&amp;center_on_screen=true&amp;width=950&amp;height=800&amp;_dd2=%26f%3Dsld%26c%3Dtrue%26os%3D142530%26oe%3D142535" TargetMode="External"/><Relationship Id="rId105" Type="http://schemas.openxmlformats.org/officeDocument/2006/relationships/hyperlink" Target="fdsup://factset/Doc%20Viewer%20Single?float_window=true&amp;positioning_strategy=center_on_screen&amp;_doc_docfn=U2FsdGVkX18crBIWqe4PJg+HGrZ9xwsXvUningk4EVcvgyJvjwEFa3JO0m3RQqphEsghBteF0ZbLrt5v9uqeUJDeFo1BpocRahGF9STWDmM=&amp;_app_id=central_doc_viewer&amp;center_on_screen=true&amp;width=950&amp;height=800&amp;_dd2=%26f%3Dsld%26c%3Dtrue%26os%3D137613%26oe%3D137619" TargetMode="External"/><Relationship Id="rId126" Type="http://schemas.openxmlformats.org/officeDocument/2006/relationships/hyperlink" Target="fdsup://factset/Doc%20Viewer%20Single?float_window=true&amp;positioning_strategy=center_on_screen&amp;_doc_docfn=U2FsdGVkX1+vTEG9j4nn4viWcPqvw7sEQUctgVvBQGai6OdDgF6yEHQU/ULqlAoanlW/bN+Sv7BE+oxL0A3c5DdQswYk6IiqPQmYopt7iAk=&amp;_app_id=central_doc_viewer&amp;center_on_screen=true&amp;width=950&amp;height=800&amp;_dd2=%26f%3Dsld%26c%3Dtrue%26os%3D72701%26oe%3D72707" TargetMode="External"/><Relationship Id="rId147" Type="http://schemas.openxmlformats.org/officeDocument/2006/relationships/hyperlink" Target="fdsup://factset/Doc%20Viewer%20Single?float_window=true&amp;positioning_strategy=center_on_screen&amp;_doc_docfn=U2FsdGVkX19jpIDv0PHuJI2AM4DQw/he6lICUYBhUKY1iDpWUGRJkr5/WDByjao9a0IZ29FEG+4/4eUs9LnokUbt+wVaojeqLLFry3eVv3g=&amp;_app_id=central_doc_viewer&amp;center_on_screen=true&amp;width=950&amp;height=800&amp;_dd2=%26f%3Dsld%26c%3Dtrue%26os%3D3313336%26oe%3D3313343" TargetMode="External"/><Relationship Id="rId168" Type="http://schemas.openxmlformats.org/officeDocument/2006/relationships/hyperlink" Target="fdsup://factset/Doc%20Viewer%20Single?float_window=true&amp;positioning_strategy=center_on_screen&amp;_doc_docfn=U2FsdGVkX19iXoTd4WyoQwmHDQuzHHbGVebLIBqmaMWjamaU6jhoBiHXSD+5jck9awFjY5hA2iP40SfZO4vE5xY6S+T3TPirPPJ0BH5C9GA=&amp;_app_id=central_doc_viewer&amp;center_on_screen=true&amp;width=950&amp;height=800&amp;_dd2=%26f%3Dsld%26c%3Dtrue%26os%3D3332783%26oe%3D3332789" TargetMode="External"/><Relationship Id="rId8" Type="http://schemas.openxmlformats.org/officeDocument/2006/relationships/hyperlink" Target="fdsup://factset/Doc%20Viewer%20Single?float_window=true&amp;positioning_strategy=center_on_screen&amp;_doc_docfn=U2FsdGVkX1+C7BoRfsg2U8W6VyRDo+ss/zvcQMcFRolVb7Bu6uDMZW3eQk3a+6ChY8cd+qoTSYSV9dSzR/wIcV/RT/FzKYqEPyVyVWKgfvM=&amp;_app_id=central_doc_viewer&amp;center_on_screen=true&amp;width=950&amp;height=800&amp;_dd2=%26f%3Dsld%26c%3Dtrue%26os%3D134733%26oe%3D134740" TargetMode="External"/><Relationship Id="rId51" Type="http://schemas.openxmlformats.org/officeDocument/2006/relationships/hyperlink" Target="fdsup://factset/Doc%20Viewer%20Single?float_window=true&amp;positioning_strategy=center_on_screen&amp;_doc_docfn=U2FsdGVkX191RUfYhMth7ACaAMr2J+5jSbjc3+vY1fRH/+fQrfGWesT95UWFdhDQgs4pbFMolxRSUzDCGjB6C27MWRtpyPKGIJJsjF8+Yrs=&amp;_app_id=central_doc_viewer&amp;center_on_screen=true&amp;width=950&amp;height=800&amp;_dd2=%26f%3Dsld%26c%3Dtrue%26os%3D257436%26oe%3D257441" TargetMode="External"/><Relationship Id="rId72" Type="http://schemas.openxmlformats.org/officeDocument/2006/relationships/hyperlink" Target="fdsup://factset/Doc%20Viewer%20Single?float_window=true&amp;positioning_strategy=center_on_screen&amp;_doc_docfn=U2FsdGVkX1+tdUQqG30fRnlDSy4jKOwtuIrI8A1KPWL6dyM/tP7iXTLDUl+xRPvq15B8YlKtN5iXYwahzSLlAIZDmcmsHEcrDa2+OEEy/VI=&amp;_app_id=central_doc_viewer&amp;center_on_screen=true&amp;width=950&amp;height=800&amp;_dd2=%26f%3Dsld%26c%3Dtrue%26os%3D140622%26oe%3D140628" TargetMode="External"/><Relationship Id="rId93" Type="http://schemas.openxmlformats.org/officeDocument/2006/relationships/hyperlink" Target="fdsup://factset/Doc%20Viewer%20Single?float_window=true&amp;positioning_strategy=center_on_screen&amp;_doc_docfn=U2FsdGVkX1/IdBGpYhwXlFb+gxyQZpNhH4BTe5W+ysH2ZzftoDJbzIpKvO2wTIKCR1u0xhy5LYVbk2orp3z3jfbs8USMkhKKF8RwHE1oFKg=&amp;_app_id=central_doc_viewer&amp;center_on_screen=true&amp;width=950&amp;height=800&amp;_dd2=%26f%3Dsld%26c%3Dtrue%26os%3D140932%26oe%3D140938" TargetMode="External"/><Relationship Id="rId98" Type="http://schemas.openxmlformats.org/officeDocument/2006/relationships/hyperlink" Target="fdsup://factset/Doc%20Viewer%20Single?float_window=true&amp;positioning_strategy=center_on_screen&amp;_doc_docfn=U2FsdGVkX19TVWwPAYeiwBTCP1PdU7ORRGSHloVuaYzO3f/SjKUTQ+Mi+QgIyLrBdeSOmvc9jVcDkaaB6KYWdxCzcAmeqsl0dvmQGrP9k1w=&amp;_app_id=central_doc_viewer&amp;center_on_screen=true&amp;width=950&amp;height=800&amp;_dd2=%26f%3Dsld%26c%3Dtrue%26os%3D70409%26oe%3D70415" TargetMode="External"/><Relationship Id="rId121" Type="http://schemas.openxmlformats.org/officeDocument/2006/relationships/hyperlink" Target="fdsup://factset/Doc%20Viewer%20Single?float_window=true&amp;positioning_strategy=center_on_screen&amp;_doc_docfn=U2FsdGVkX18jA8marSvqfx7Pb7au+2CFWMcmkInRvU23ZY7EHEZooZkSiZQIdJiPM/GveEYLLFeTpTHAqEMOO4e2FXQa177etTY9fgD+w9c=&amp;_app_id=central_doc_viewer&amp;center_on_screen=true&amp;width=950&amp;height=800&amp;_dd2=%26f%3Dsld%26c%3Dtrue%26os%3D75689%26oe%3D75690" TargetMode="External"/><Relationship Id="rId142" Type="http://schemas.openxmlformats.org/officeDocument/2006/relationships/hyperlink" Target="fdsup://factset/Doc%20Viewer%20Single?float_window=true&amp;positioning_strategy=center_on_screen&amp;_doc_docfn=U2FsdGVkX1+tCfbc4HRO4EWZHPu71GOMeXArUuV7oPS6htiZ8XTd35xjcqOBFlETUt2ECTvWuZ7w47YFlLW8V5Q01DviorFoA+Z/7NdLPaU=&amp;_app_id=central_doc_viewer&amp;center_on_screen=true&amp;width=950&amp;height=800&amp;_dd2=%26f%3Dsld%26c%3Dtrue%26os%3D209971%26oe%3D209978" TargetMode="External"/><Relationship Id="rId163" Type="http://schemas.openxmlformats.org/officeDocument/2006/relationships/hyperlink" Target="fdsup://factset/Doc%20Viewer%20Single?float_window=true&amp;positioning_strategy=center_on_screen&amp;_doc_docfn=U2FsdGVkX1+yU8Tl8GXX6FuPJe9Ozw5FsKBndyVUAF/r9Yz+XGh7zTuNdIZ0oP5bz8JtzMPtmpjzHUKcAJUEw39wXD3dpGHDbClT0wN0pJM=&amp;_app_id=central_doc_viewer&amp;center_on_screen=true&amp;width=950&amp;height=800&amp;_dd2=%26f%3Dsld%26c%3Dtrue%26os%3D1208701%26oe%3D1208707" TargetMode="External"/><Relationship Id="rId184" Type="http://schemas.openxmlformats.org/officeDocument/2006/relationships/hyperlink" Target="fdsup://factset/Doc%20Viewer%20Single?float_window=true&amp;positioning_strategy=center_on_screen&amp;_doc_docfn=U2FsdGVkX180sVew1uUMaFS63X9aZ/T7HyO9jIPNQhalpAkYRvBoq9+TfZRApry+2A4YPs+m0YS9cHnV9BBCev1tYIMXLcb29D18s8/CNu4=&amp;_app_id=central_doc_viewer&amp;center_on_screen=true&amp;width=950&amp;height=800&amp;_dd2=%26f%3Dsld%26c%3Dtrue%26os%3D1214897%26oe%3D1214904" TargetMode="External"/><Relationship Id="rId3" Type="http://schemas.openxmlformats.org/officeDocument/2006/relationships/hyperlink" Target="fdsup://factset/Doc%20Viewer%20Single?float_window=true&amp;positioning_strategy=center_on_screen&amp;_doc_docfn=U2FsdGVkX1/nrg+L9Oty1oqkfUwnQrmydeZePuJcqOFhQalOtkpKYXUcK6YmI0gFY2ZRbkowIY8KxhSW6sW/OAzqEXRzZ/e02h/4DjATfWA=&amp;_app_id=central_doc_viewer&amp;center_on_screen=true&amp;width=950&amp;height=800&amp;_dd2=%26f%3Dsld%26c%3Dtrue%26os%3D62098%26oe%3D62105" TargetMode="External"/><Relationship Id="rId25" Type="http://schemas.openxmlformats.org/officeDocument/2006/relationships/hyperlink" Target="fdsup://factset/Doc%20Viewer%20Single?float_window=true&amp;positioning_strategy=center_on_screen&amp;_doc_docfn=U2FsdGVkX190Naodem34WogEuubSVZcxsblWAT0a44XvHf7sTgAPm+mr9udPL9iGh61JzYyFosOo1tAPX1XsW2kjU3J3qUGdM9toXJfSIAE=&amp;_app_id=central_doc_viewer&amp;center_on_screen=true&amp;width=950&amp;height=800&amp;_dd2=%26f%3Dsld%26c%3Dtrue%26os%3D135782%26oe%3D135788" TargetMode="External"/><Relationship Id="rId46" Type="http://schemas.openxmlformats.org/officeDocument/2006/relationships/hyperlink" Target="fdsup://factset/Doc%20Viewer%20Single?float_window=true&amp;positioning_strategy=center_on_screen&amp;_doc_docfn=U2FsdGVkX19m0y5qTVxDwaukNA1Qv9dzyPSqy3AwVKvK0ER7SPeR/QVbx40vp9QH/Xxb7l9R0XjG9SI+Hq24DKvNxxaPq0yZ3HZOPPB8gDE=&amp;_app_id=central_doc_viewer&amp;center_on_screen=true&amp;width=950&amp;height=800&amp;_dd2=%26f%3Dsld%26c%3Dtrue%26os%3D202372%26oe%3D202378" TargetMode="External"/><Relationship Id="rId67" Type="http://schemas.openxmlformats.org/officeDocument/2006/relationships/hyperlink" Target="fdsup://factset/Doc%20Viewer%20Single?float_window=true&amp;positioning_strategy=center_on_screen&amp;_doc_docfn=U2FsdGVkX188vCmeOa4N9ZrktfOSsKHzqD/co8Ii1Z1XbPHMmqMk6QtH/bLGB7EPvkzpwbK1ToaRdthhqsdO+g8TmC6qLCDQdC0rA3t3zCk=&amp;_app_id=central_doc_viewer&amp;center_on_screen=true&amp;width=950&amp;height=800&amp;_dd2=%26f%3Dsld%26c%3Dtrue%26os%3D69925%26oe%3D69931" TargetMode="External"/><Relationship Id="rId116" Type="http://schemas.openxmlformats.org/officeDocument/2006/relationships/hyperlink" Target="fdsup://factset/Doc%20Viewer%20Single?float_window=true&amp;positioning_strategy=center_on_screen&amp;_doc_docfn=U2FsdGVkX1+vXzW8c27XrHK/F9T7Nixq4YBfb8DX/FoDlCN5a5NtsPg3xFAgaGG+LgM+I1Ke+WWnz407e9IPNcRdup8RAhpN7FeTUjtdSt8=&amp;_app_id=central_doc_viewer&amp;center_on_screen=true&amp;width=950&amp;height=800&amp;_dd2=%26f%3Dsld%26c%3Dtrue%26os%3D143666%26oe%3D143674" TargetMode="External"/><Relationship Id="rId137" Type="http://schemas.openxmlformats.org/officeDocument/2006/relationships/hyperlink" Target="fdsup://factset/Doc%20Viewer%20Single?float_window=true&amp;positioning_strategy=center_on_screen&amp;_doc_docfn=U2FsdGVkX185pygGAxBRe6gbQvJz30pry8JdbmB+Z1oFXrGlJTqXy7AdWaRwRmLGpeYfUdBUoDsOKVBQ6Ef9LltPNvfQt6jfk/XO1Uo7ceY=&amp;_app_id=central_doc_viewer&amp;center_on_screen=true&amp;width=950&amp;height=800&amp;_dd2=%26f%3Dsld%26c%3Dtrue%26os%3D143259%26oe%3D143263" TargetMode="External"/><Relationship Id="rId158" Type="http://schemas.openxmlformats.org/officeDocument/2006/relationships/hyperlink" Target="fdsup://factset/Doc%20Viewer%20Single?float_window=true&amp;positioning_strategy=center_on_screen&amp;_doc_docfn=U2FsdGVkX19EZo2+/RbpAfzoOtcBv5AXBLJcILZ4c3vIVt5Ss/ly78jYAkifKVHhvF3VRR033KigQ2NknYPBZRHzOhBzLX7DIRQVdXUMcm8=&amp;_app_id=central_doc_viewer&amp;center_on_screen=true&amp;width=950&amp;height=800&amp;_dd2=%26f%3Dsld%26c%3Dtrue%26os%3D2877743%26oe%3D2877752" TargetMode="External"/><Relationship Id="rId20" Type="http://schemas.openxmlformats.org/officeDocument/2006/relationships/hyperlink" Target="fdsup://factset/Doc%20Viewer%20Single?float_window=true&amp;positioning_strategy=center_on_screen&amp;_doc_docfn=U2FsdGVkX1+TzzJmlEPtQrS4ozREyqqDpap3ni2IvKGG7XSUHQQMEU9qEoY9v0tOM658W9qBg+AurpABVwVvnT+7Csv3aiMqDGB8RLq+c5A=&amp;_app_id=central_doc_viewer&amp;center_on_screen=true&amp;width=950&amp;height=800&amp;_dd2=%26f%3Dsld%26c%3Dtrue%26os%3D134533%26oe%3D134540" TargetMode="External"/><Relationship Id="rId41" Type="http://schemas.openxmlformats.org/officeDocument/2006/relationships/hyperlink" Target="fdsup://factset/Doc%20Viewer%20Single?float_window=true&amp;positioning_strategy=center_on_screen&amp;_doc_docfn=U2FsdGVkX1+zy8b8QF1gq/lRWKCewqMPfsIKq2n5+2MNXQtIhlswJiMmkD0QDxZo3L9kbgNtVw1BT/8hpPehwMez77upbTR8C3Lnkw1EbtU=&amp;_app_id=central_doc_viewer&amp;center_on_screen=true&amp;width=950&amp;height=800&amp;_dd2=%26f%3Dsld%26c%3Dtrue%26os%3D255025%26oe%3D255030" TargetMode="External"/><Relationship Id="rId62" Type="http://schemas.openxmlformats.org/officeDocument/2006/relationships/hyperlink" Target="fdsup://factset/Doc%20Viewer%20Single?float_window=true&amp;positioning_strategy=center_on_screen&amp;_doc_docfn=U2FsdGVkX1/hIy2O7/256yBpcqRJH5pFsFf+HQOk+Zd/I/fAfo0tTjRjfvKkZN/9QQfbXcQ3HkTTaS0WrgQQkcZOd78//SOyVKg470z/bgc=&amp;_app_id=central_doc_viewer&amp;center_on_screen=true&amp;width=950&amp;height=800&amp;_dd2=%26f%3Dsld%26c%3Dtrue%26os%3D67848%26oe%3D67853" TargetMode="External"/><Relationship Id="rId83" Type="http://schemas.openxmlformats.org/officeDocument/2006/relationships/hyperlink" Target="fdsup://factset/Doc%20Viewer%20Single?float_window=true&amp;positioning_strategy=center_on_screen&amp;_doc_docfn=U2FsdGVkX18apZ0mg9JW5XIpoVD6v61Hd9TIe4XmOOMw/7K1hlCp+CRqCsTgfYxIej3mnDn+vNJlGnIHILmH7MlTDyP35yPtA0/JPZXOGfw=&amp;_app_id=central_doc_viewer&amp;center_on_screen=true&amp;width=950&amp;height=800&amp;_dd2=%26f%3Dsld%26c%3Dtrue%26os%3D140158%26oe%3D140165" TargetMode="External"/><Relationship Id="rId88" Type="http://schemas.openxmlformats.org/officeDocument/2006/relationships/hyperlink" Target="fdsup://factset/Doc%20Viewer%20Single?float_window=true&amp;positioning_strategy=center_on_screen&amp;_doc_docfn=U2FsdGVkX19VJZYl4zil4Gg9om30aYyo8A8va73FQrlrAnkz4rBJs6lKplPH6UvwtNM96Bz7Dx5BmMFtufqQHxt61q0KpFZKoFxjHDxB/Rk=&amp;_app_id=central_doc_viewer&amp;center_on_screen=true&amp;width=950&amp;height=800&amp;_dd2=%26f%3Dsld%26c%3Dtrue%26os%3D69462%26oe%3D69468" TargetMode="External"/><Relationship Id="rId111" Type="http://schemas.openxmlformats.org/officeDocument/2006/relationships/hyperlink" Target="fdsup://factset/Doc%20Viewer%20Single?float_window=true&amp;positioning_strategy=center_on_screen&amp;_doc_docfn=U2FsdGVkX1/7y6xN889R46HQglfCIOsPV0Aolw8kgkl3agjHPl01jMWIPMjDc1vEHeg3QNcSs+cSJtNvdZqSyp8/gJBPVC8p7DjZxGTLMpQ=&amp;_app_id=central_doc_viewer&amp;center_on_screen=true&amp;width=950&amp;height=800&amp;_dd2=%26f%3Dsld%26c%3Dtrue%26os%3D74891%26oe%3D74897" TargetMode="External"/><Relationship Id="rId132" Type="http://schemas.openxmlformats.org/officeDocument/2006/relationships/hyperlink" Target="fdsup://factset/Doc%20Viewer%20Single?float_window=true&amp;positioning_strategy=center_on_screen&amp;_doc_docfn=U2FsdGVkX1/U4+o3RCIRvSNPlQzswousB6jz0LB/b3rUo1wiZl1J50qOXdMekRj8FS19scBJC6urNs05Dov4MBN2SRFlwpmPN+8OnMppYFc=&amp;_app_id=central_doc_viewer&amp;center_on_screen=true&amp;width=950&amp;height=800&amp;_dd2=%26f%3Dsld%26c%3Dtrue%26os%3D138314%26oe%3D138321" TargetMode="External"/><Relationship Id="rId153" Type="http://schemas.openxmlformats.org/officeDocument/2006/relationships/hyperlink" Target="fdsup://factset/Doc%20Viewer%20Single?float_window=true&amp;positioning_strategy=center_on_screen&amp;_doc_docfn=U2FsdGVkX193f9IYHD4EMgTBG+VcyJj1HrlqD1s3vtjHpeqwaOq45XbiAOZS/K5rjt4bWytmC0W2RKtyucbkvBEZdDlFEQUonESl+kHWYZc=&amp;_app_id=central_doc_viewer&amp;center_on_screen=true&amp;width=950&amp;height=800&amp;_dd2=%26f%3Dsld%26c%3Dtrue%26os%3D3132511%26oe%3D3132516" TargetMode="External"/><Relationship Id="rId174" Type="http://schemas.openxmlformats.org/officeDocument/2006/relationships/hyperlink" Target="fdsup://factset/Doc%20Viewer%20Single?float_window=true&amp;positioning_strategy=center_on_screen&amp;_doc_docfn=U2FsdGVkX1+p0otX3REii9gG6VBNoVjlSzvzxjN4v3OFR7dgMBAXPN6WuJiZGmghrgEHIyyYMSo1qnfmTuM6UHhdftiBabdJGKHHWbo3Gas=&amp;_app_id=central_doc_viewer&amp;center_on_screen=true&amp;width=950&amp;height=800&amp;_dd2=%26f%3Dsld%26c%3Dtrue%26os%3D3153780%26oe%3D3153783" TargetMode="External"/><Relationship Id="rId179" Type="http://schemas.openxmlformats.org/officeDocument/2006/relationships/hyperlink" Target="fdsup://factset/Doc%20Viewer%20Single?float_window=true&amp;positioning_strategy=center_on_screen&amp;_doc_docfn=U2FsdGVkX19htAEhJOAW+IcSpVHiJBCNzcxneF6+QbPd0EwOXMHJ7LoJzU3Bg2KEQuZzoo5PJmCmcET9fhAeXpnsnVdyxjHllBvpw+A18Qc=&amp;_app_id=central_doc_viewer&amp;center_on_screen=true&amp;width=950&amp;height=800&amp;_dd2=%26f%3Dsld%26c%3Dtrue%26os%3D2892728%26oe%3D2892737" TargetMode="External"/><Relationship Id="rId15" Type="http://schemas.openxmlformats.org/officeDocument/2006/relationships/hyperlink" Target="fdsup://factset/Doc%20Viewer%20Single?float_window=true&amp;positioning_strategy=center_on_screen&amp;_doc_docfn=U2FsdGVkX1+X4xx6fAklH1GRdXMulkrxVFqqVV8SDq9xf1d+l7VPHrYqUmxu33VyPRdK0eTB/jtmBPVHTJAPi0LxlYQ4erPUWd+K2+O1v9Y=&amp;_app_id=central_doc_viewer&amp;center_on_screen=true&amp;width=950&amp;height=800&amp;_dd2=%26f%3Dsld%26c%3Dtrue%26os%3D139411%26oe%3D139418" TargetMode="External"/><Relationship Id="rId36" Type="http://schemas.openxmlformats.org/officeDocument/2006/relationships/hyperlink" Target="fdsup://factset/Doc%20Viewer%20Single?float_window=true&amp;positioning_strategy=center_on_screen&amp;_doc_docfn=U2FsdGVkX1+Ssnqt+MQ3nGxbZbcE93uYD9IQ+/kYA2Zdpldp8Sq6cfzQdHwh97eKDGYc3S3nTBRpyCgTl53gIczxYlMYuTByYQhpevUjDrM=&amp;_app_id=central_doc_viewer&amp;center_on_screen=true&amp;width=950&amp;height=800&amp;_dd2=%26f%3Dsld%26c%3Dtrue%26os%3D201641%26oe%3D201647" TargetMode="External"/><Relationship Id="rId57" Type="http://schemas.openxmlformats.org/officeDocument/2006/relationships/hyperlink" Target="fdsup://factset/Doc%20Viewer%20Single?float_window=true&amp;positioning_strategy=center_on_screen&amp;_doc_docfn=U2FsdGVkX1+G7ueJbbohH9+K9fHgcawfQbLUMk5ux6tEafBzbmZ5anPHmkNDybV71VvrZQzITDYnncU55UEUF1JoCxYWNm0uTvSNlHhhqZU=&amp;_app_id=central_doc_viewer&amp;center_on_screen=true&amp;width=950&amp;height=800&amp;_dd2=%26f%3Dsld%26c%3Dtrue%26os%3D138483%26oe%3D138489" TargetMode="External"/><Relationship Id="rId106" Type="http://schemas.openxmlformats.org/officeDocument/2006/relationships/hyperlink" Target="fdsup://factset/Doc%20Viewer%20Single?float_window=true&amp;positioning_strategy=center_on_screen&amp;_doc_docfn=U2FsdGVkX1/RmUQkrmlx+DjwUXfA3Vc4hNuslS2Pk4A5yrBDV6MUZnEC/aQTo0k5ozR/akBHNpRZl8VVP1KF1PU9orMmOB/qxz2oS7x39Yw=&amp;_app_id=central_doc_viewer&amp;center_on_screen=true&amp;width=950&amp;height=800&amp;_dd2=%26f%3Dsld%26c%3Dtrue%26os%3D273543%26oe%3D273549" TargetMode="External"/><Relationship Id="rId127" Type="http://schemas.openxmlformats.org/officeDocument/2006/relationships/hyperlink" Target="fdsup://factset/Doc%20Viewer%20Single?float_window=true&amp;positioning_strategy=center_on_screen&amp;_doc_docfn=U2FsdGVkX1+laRmKjHh0FzODb0RTe34oYXpx6CnBhhxuojOQe+QbzhQX1IEtuB1asxZrdBFNaGMflPK6ejrGgx6XtUmUBBPfhz96HZRuHwU=&amp;_app_id=central_doc_viewer&amp;center_on_screen=true&amp;width=950&amp;height=800&amp;_dd2=%26f%3Dsld%26c%3Dtrue%26os%3D143227%26oe%3D143233" TargetMode="External"/><Relationship Id="rId10" Type="http://schemas.openxmlformats.org/officeDocument/2006/relationships/hyperlink" Target="fdsup://factset/Doc%20Viewer%20Single?float_window=true&amp;positioning_strategy=center_on_screen&amp;_doc_docfn=U2FsdGVkX1/5JGizgriVG2155qFPFCtaxOaC2UJs2AvTAaAy+muqSurqToEd8njwYNyYP8hcZYGPuRw03/NwuwH2V64EuTYnLnPPQmh2ZG8=&amp;_app_id=central_doc_viewer&amp;center_on_screen=true&amp;width=950&amp;height=800&amp;_dd2=%26f%3Dsld%26c%3Dtrue%26os%3D130530%26oe%3D130537" TargetMode="External"/><Relationship Id="rId31" Type="http://schemas.openxmlformats.org/officeDocument/2006/relationships/hyperlink" Target="fdsup://factset/Doc%20Viewer%20Single?float_window=true&amp;positioning_strategy=center_on_screen&amp;_doc_docfn=U2FsdGVkX19LMmQ8b37uhXTVE+BtXn3K9mbMy0WEtUVAX79rr3uiJE2GHHM1WgVV2MUcrpuo83KIRoM+rHmZVzXMwuqGeT28hEEKPOtOAu0=&amp;_app_id=central_doc_viewer&amp;center_on_screen=true&amp;width=950&amp;height=800&amp;_dd2=%26f%3Dsld%26c%3Dtrue%26os%3D252370%26oe%3D252376" TargetMode="External"/><Relationship Id="rId52" Type="http://schemas.openxmlformats.org/officeDocument/2006/relationships/hyperlink" Target="fdsup://factset/Doc%20Viewer%20Single?float_window=true&amp;positioning_strategy=center_on_screen&amp;_doc_docfn=U2FsdGVkX18GGZuJ60m3foMaadWIZ0QBqea4X7Ea9sFKVvoIiNHT4i21XRkga4RXUlBWT5GbxbMfuwXiXOhU5h1/RRbVr2Dp68uKpwK0oYM=&amp;_app_id=central_doc_viewer&amp;center_on_screen=true&amp;width=950&amp;height=800&amp;_dd2=%26f%3Dsld%26c%3Dtrue%26os%3D68385%26oe%3D68390" TargetMode="External"/><Relationship Id="rId73" Type="http://schemas.openxmlformats.org/officeDocument/2006/relationships/hyperlink" Target="fdsup://factset/Doc%20Viewer%20Single?float_window=true&amp;positioning_strategy=center_on_screen&amp;_doc_docfn=U2FsdGVkX1+sog5PCPKmeELSXLwancbzPO5017jfb1wLpvLcsLZoU0nGe6qXwkM+3AJ3LT/6s59moUBnsEg5RTId60hs1FpMijvfxGCsHzQ=&amp;_app_id=central_doc_viewer&amp;center_on_screen=true&amp;width=950&amp;height=800&amp;_dd2=%26f%3Dsld%26c%3Dtrue%26os%3D139441%26oe%3D139447" TargetMode="External"/><Relationship Id="rId78" Type="http://schemas.openxmlformats.org/officeDocument/2006/relationships/hyperlink" Target="fdsup://factset/Doc%20Viewer%20Single?float_window=true&amp;positioning_strategy=center_on_screen&amp;_doc_docfn=U2FsdGVkX18p9o6wKuzc1e55S8R9eQHIIUeJNhVpuOejKtowwGFt2R4EuXzkgTIkGJGWIzs3bet07DTwiBI18T/lXEQo5GRHesEHTbU61Z0=&amp;_app_id=central_doc_viewer&amp;center_on_screen=true&amp;width=950&amp;height=800&amp;_dd2=%26f%3Dsld%26c%3Dtrue%26os%3D68605%26oe%3D68610" TargetMode="External"/><Relationship Id="rId94" Type="http://schemas.openxmlformats.org/officeDocument/2006/relationships/hyperlink" Target="fdsup://factset/Doc%20Viewer%20Single?float_window=true&amp;positioning_strategy=center_on_screen&amp;_doc_docfn=U2FsdGVkX18IZhDnaOAIcrHwpUCb6YHiK2n4byyGONlbxcngW6dpRpvIffU7K/KKiJ+QYZjrXikdhXU2S+VcIh45MhCbWqc1ZdGaqbptZDw=&amp;_app_id=central_doc_viewer&amp;center_on_screen=true&amp;width=950&amp;height=800&amp;_dd2=%26f%3Dsld%26c%3Dtrue%26os%3D139565%26oe%3D139571" TargetMode="External"/><Relationship Id="rId99" Type="http://schemas.openxmlformats.org/officeDocument/2006/relationships/hyperlink" Target="fdsup://factset/Doc%20Viewer%20Single?float_window=true&amp;positioning_strategy=center_on_screen&amp;_doc_docfn=U2FsdGVkX1/6wo10wGZ95jAddEShzOMNY4qTQajGi+u8ii7np1z2GocjZbKUT4Cb1BRN8JPXDwPkNBRDShgXcNdhA/ii5GSVNTHCQjP0aOo=&amp;_app_id=central_doc_viewer&amp;center_on_screen=true&amp;width=950&amp;height=800&amp;_dd2=%26f%3Dsld%26c%3Dtrue%26os%3D71948%26oe%3D71953" TargetMode="External"/><Relationship Id="rId101" Type="http://schemas.openxmlformats.org/officeDocument/2006/relationships/hyperlink" Target="fdsup://factset/Doc%20Viewer%20Single?float_window=true&amp;positioning_strategy=center_on_screen&amp;_doc_docfn=U2FsdGVkX19kHk3YcVTZzoJyzIpGx/CtWj0emvDNaBlcrYh8+wIcNy5LBxnfN+ri9SNu9QOJ1WMCQla2r56BrK6VPrP3jgFdfcBU5eBR9C4=&amp;_app_id=central_doc_viewer&amp;center_on_screen=true&amp;width=950&amp;height=800&amp;_dd2=%26f%3Dsld%26c%3Dtrue%26os%3D207673%26oe%3D207678" TargetMode="External"/><Relationship Id="rId122" Type="http://schemas.openxmlformats.org/officeDocument/2006/relationships/hyperlink" Target="fdsup://factset/Doc%20Viewer%20Single?float_window=true&amp;positioning_strategy=center_on_screen&amp;_doc_docfn=U2FsdGVkX19EpWf7IJSJWP0+4rk6ya2n9hvbQRa/GEfW+zSKcR0FIb8FxVxkt026+vE2K8JhWtXh/jh9UMTIRNtLRe7LoEWjcIytTPUL8PM=&amp;_app_id=central_doc_viewer&amp;center_on_screen=true&amp;width=950&amp;height=800&amp;_dd2=%26f%3Dsld%26c%3Dtrue%26os%3D71957%26oe%3D71958" TargetMode="External"/><Relationship Id="rId143" Type="http://schemas.openxmlformats.org/officeDocument/2006/relationships/hyperlink" Target="fdsup://factset/Doc%20Viewer%20Single?float_window=true&amp;positioning_strategy=center_on_screen&amp;_doc_docfn=U2FsdGVkX1/CjY3JQklITYIJt8qwQ0kFo8hzf5v0gp6h2d0tvO5vKfp2Hgn6R53+kFlHl3Qz7d/uFh4kWC1Oq0ZDj5WMj6D0+y2sA084mwg=&amp;_app_id=central_doc_viewer&amp;center_on_screen=true&amp;width=950&amp;height=800&amp;_dd2=%26f%3Dsld%26c%3Dtrue%26os%3D145272%26oe%3D145280" TargetMode="External"/><Relationship Id="rId148" Type="http://schemas.openxmlformats.org/officeDocument/2006/relationships/hyperlink" Target="fdsup://factset/Doc%20Viewer%20Single?float_window=true&amp;positioning_strategy=center_on_screen&amp;_doc_docfn=U2FsdGVkX1+e+su9MSrFAuNLeb35Af3ORFQbnM14f69KpUbCSLwfSKzFKMW36ttIjHZqbzB6NMYAqbL9sCi46MC80JdbYttmGRGPN6A/YzM=&amp;_app_id=central_doc_viewer&amp;center_on_screen=true&amp;width=950&amp;height=800&amp;_dd2=%26f%3Dsld%26c%3Dtrue%26os%3D3633948%26oe%3D3633955" TargetMode="External"/><Relationship Id="rId164" Type="http://schemas.openxmlformats.org/officeDocument/2006/relationships/hyperlink" Target="fdsup://factset/Doc%20Viewer%20Single?float_window=true&amp;positioning_strategy=center_on_screen&amp;_doc_docfn=U2FsdGVkX1+mb+C8qeJE2IIqknm1vfEIxDuCJOSMzjGdgj2Z+ZX6Y5AyxaTDh4LdmgMmw3o7MYU9PvShmBjX9SJwWk54pqbyRnsHSLjrd3c=&amp;_app_id=central_doc_viewer&amp;center_on_screen=true&amp;width=950&amp;height=800&amp;_dd2=%26f%3Dsld%26c%3Dtrue%26os%3D2785486%26oe%3D2785492" TargetMode="External"/><Relationship Id="rId169" Type="http://schemas.openxmlformats.org/officeDocument/2006/relationships/hyperlink" Target="fdsup://factset/Doc%20Viewer%20Single?float_window=true&amp;positioning_strategy=center_on_screen&amp;_doc_docfn=U2FsdGVkX18S/kZK/4NH95UCbRKvAOeh17dm0kkzlBrCz4/Cji0rzLhdnlzxZs5wYuUx5mr+VitSiLlUs2ZBPawOpm9frMnVCOqKbiNNziE=&amp;_app_id=central_doc_viewer&amp;center_on_screen=true&amp;width=950&amp;height=800&amp;_dd2=%26f%3Dsld%26c%3Dtrue%26os%3D3648521%26oe%3D3648527" TargetMode="External"/><Relationship Id="rId185" Type="http://schemas.openxmlformats.org/officeDocument/2006/relationships/hyperlink" Target="fdsup://factset/Doc%20Viewer%20Single?float_window=true&amp;positioning_strategy=center_on_screen&amp;_doc_docfn=U2FsdGVkX180nXzoi5VR07QcAM8qONmGp2PACXyvNEy2+j1xrQAoyNQ8mPMDqoeD6t7ClXGk9S1PLrY7c0QNlrxkrWl7UlEIcDn3pcplcrs=&amp;_app_id=central_doc_viewer&amp;center_on_screen=true&amp;width=950&amp;height=800&amp;_dd2=%26f%3Dsld%26c%3Dtrue%26os%3D2805513%26oe%3D2805520" TargetMode="External"/><Relationship Id="rId4" Type="http://schemas.openxmlformats.org/officeDocument/2006/relationships/hyperlink" Target="fdsup://factset/Doc%20Viewer%20Single?float_window=true&amp;positioning_strategy=center_on_screen&amp;_doc_docfn=U2FsdGVkX18VzWze83vm3my4ZNcbRihgeCKwIobUYM+hyUPEXi1M3smde3fxsBs+hp2ecrf3/p1U1c2BEnU0+UWl1HFKEhfheS8FtpPXd/k=&amp;_app_id=central_doc_viewer&amp;center_on_screen=true&amp;width=950&amp;height=800&amp;_dd2=%26f%3Dsld%26c%3Dtrue%26os%3D63529%26oe%3D63536" TargetMode="External"/><Relationship Id="rId9" Type="http://schemas.openxmlformats.org/officeDocument/2006/relationships/hyperlink" Target="fdsup://factset/Doc%20Viewer%20Single?float_window=true&amp;positioning_strategy=center_on_screen&amp;_doc_docfn=U2FsdGVkX18heYTaPvCpIq3z9nJLMTFC0qtXBNAbNexZTrSYZg9VAHBoXdY9bqdKM3DAJ8y4eRwsMTDm1WqYe0BPZzUYRz3dfu3yCPJts0U=&amp;_app_id=central_doc_viewer&amp;center_on_screen=true&amp;width=950&amp;height=800&amp;_dd2=%26f%3Dsld%26c%3Dtrue%26os%3D133364%26oe%3D133373" TargetMode="External"/><Relationship Id="rId180" Type="http://schemas.openxmlformats.org/officeDocument/2006/relationships/hyperlink" Target="fdsup://factset/Doc%20Viewer%20Single?float_window=true&amp;positioning_strategy=center_on_screen&amp;_doc_docfn=U2FsdGVkX19ECrljz9pkZtFnc506FkvFc/biPUibo2/w73LX9WozgsKO8XvAKPKTCXiINfL6VhHLSNLYtlWV8I1d3HPpA3ToTHRZ39AKeFA=&amp;_app_id=central_doc_viewer&amp;center_on_screen=true&amp;width=950&amp;height=800&amp;_dd2=%26f%3Dsld%26c%3Dtrue%26os%3D1023442%26oe%3D1023447" TargetMode="External"/><Relationship Id="rId26" Type="http://schemas.openxmlformats.org/officeDocument/2006/relationships/hyperlink" Target="fdsup://factset/Doc%20Viewer%20Single?float_window=true&amp;positioning_strategy=center_on_screen&amp;_doc_docfn=U2FsdGVkX1+Su15hPznCQomV3oolLndTanV5sgHvX020RlkcxKHIFNzKKcXApiaOdHbQiIdD/Pp3lw4w1WfKhgKmz8HpXTeJux4wGm4Xw4U=&amp;_app_id=central_doc_viewer&amp;center_on_screen=true&amp;width=950&amp;height=800&amp;_dd2=%26f%3Dsld%26c%3Dtrue%26os%3D200934%26oe%3D200940" TargetMode="External"/><Relationship Id="rId47" Type="http://schemas.openxmlformats.org/officeDocument/2006/relationships/hyperlink" Target="fdsup://factset/Doc%20Viewer%20Single?float_window=true&amp;positioning_strategy=center_on_screen&amp;_doc_docfn=U2FsdGVkX19D2E0tSihWdTELoFyuSCT8k5bN2qMthSNwTurH/RRNNObKNLoIHnEiRtSwelCTwhFSyzRHjCBe8cYnlqU7wRj+ERTN9X6cG0g=&amp;_app_id=central_doc_viewer&amp;center_on_screen=true&amp;width=950&amp;height=800&amp;_dd2=%26f%3Dsld%26c%3Dtrue%26os%3D137746%26oe%3D137752" TargetMode="External"/><Relationship Id="rId68" Type="http://schemas.openxmlformats.org/officeDocument/2006/relationships/hyperlink" Target="fdsup://factset/Doc%20Viewer%20Single?float_window=true&amp;positioning_strategy=center_on_screen&amp;_doc_docfn=U2FsdGVkX1+2wM1A3Tz2kH0Buoh7cX7VYta/kPAo8V4E2SP2CRrPoUQfa5T25qg7yhrnuguhiJdzFFMQ6n6BHRo5G4mqjABEX9nxNLu9SCk=&amp;_app_id=central_doc_viewer&amp;center_on_screen=true&amp;width=950&amp;height=800&amp;_dd2=%26f%3Dsld%26c%3Dtrue%26os%3D67832%26oe%3D67838" TargetMode="External"/><Relationship Id="rId89" Type="http://schemas.openxmlformats.org/officeDocument/2006/relationships/hyperlink" Target="fdsup://factset/Doc%20Viewer%20Single?float_window=true&amp;positioning_strategy=center_on_screen&amp;_doc_docfn=U2FsdGVkX1/L1znG07JHwpw/wo0bhqOfowjr/nBYvKKaMxdYBjZYj39KLK/80JEwJAp6cWBRB9GSIDc6RQMN3sfo2KUhgFuBuBI5OFMf6yU=&amp;_app_id=central_doc_viewer&amp;center_on_screen=true&amp;width=950&amp;height=800&amp;_dd2=%26f%3Dsld%26c%3Dtrue%26os%3D71002%26oe%3D71008" TargetMode="External"/><Relationship Id="rId112" Type="http://schemas.openxmlformats.org/officeDocument/2006/relationships/hyperlink" Target="fdsup://factset/Doc%20Viewer%20Single?float_window=true&amp;positioning_strategy=center_on_screen&amp;_doc_docfn=U2FsdGVkX19fpxSU9T/419Y5xC99ineWxbD3n1dm/xB7iTQE98KVa76nZ7uLL5Bbrb9l/tTQ1L+M5XIMyN0OZ8t9ur+8eFdGsQlzjb7b9pQ=&amp;_app_id=central_doc_viewer&amp;center_on_screen=true&amp;width=950&amp;height=800&amp;_dd2=%26f%3Dsld%26c%3Dtrue%26os%3D71159%26oe%3D71165" TargetMode="External"/><Relationship Id="rId133" Type="http://schemas.openxmlformats.org/officeDocument/2006/relationships/hyperlink" Target="fdsup://factset/Doc%20Viewer%20Single?float_window=true&amp;positioning_strategy=center_on_screen&amp;_doc_docfn=U2FsdGVkX1/oa7UBu6yY/KwR9cWa0kYNz0ErdyWxZHGBRLVoEgPnHUAGUzu6ay9tAiE5oAzsfOqjTvcNdJ9mrRN9zmik5lTGG1DJ1eWDsy8=&amp;_app_id=central_doc_viewer&amp;center_on_screen=true&amp;width=950&amp;height=800&amp;_dd2=%26f%3Dsld%26c%3Dtrue%26os%3D73547%26oe%3D73552" TargetMode="External"/><Relationship Id="rId154" Type="http://schemas.openxmlformats.org/officeDocument/2006/relationships/hyperlink" Target="fdsup://factset/Doc%20Viewer%20Single?float_window=true&amp;positioning_strategy=center_on_screen&amp;_doc_docfn=U2FsdGVkX18EO10VeL/MIO1yS/uqGxIP+anxLRZTFHYmVP7AfQCoBfrTsvQtREoKPB1xqvJO28XLma5VrFk20/i+2KULaiGD7ktgJfvW1c4=&amp;_app_id=central_doc_viewer&amp;center_on_screen=true&amp;width=950&amp;height=800&amp;_dd2=%26f%3Dsld%26c%3Dtrue%26os%3D3317047%26oe%3D3317054" TargetMode="External"/><Relationship Id="rId175" Type="http://schemas.openxmlformats.org/officeDocument/2006/relationships/hyperlink" Target="fdsup://factset/Doc%20Viewer%20Single?float_window=true&amp;positioning_strategy=center_on_screen&amp;_doc_docfn=U2FsdGVkX1+M/RDo/QY9JRQWuga0KSJUL6acYYnG+YqaHj51bZkkcYwU66Qp/sLKpHOLv/FqH+D1BA3UaNWL/Yf2JbeZnLuGmD7Pe8wcQs4=&amp;_app_id=central_doc_viewer&amp;center_on_screen=true&amp;width=950&amp;height=800&amp;_dd2=%26f%3Dsld%26c%3Dtrue%26os%3D3344844%26oe%3D3344851" TargetMode="External"/><Relationship Id="rId16" Type="http://schemas.openxmlformats.org/officeDocument/2006/relationships/hyperlink" Target="fdsup://factset/Doc%20Viewer%20Single?float_window=true&amp;positioning_strategy=center_on_screen&amp;_doc_docfn=U2FsdGVkX195jLeENgoscGxz9xfOfimM+QpBllpzaSXV8N32Ikdh5GVaFRDpqohr7urjeC00g6KCYYl0ao3CpBRF3vCHghxZZ2Nm4Z9aTek=&amp;_app_id=central_doc_viewer&amp;center_on_screen=true&amp;width=950&amp;height=800&amp;_dd2=%26f%3Dsld%26c%3Dtrue%26os%3D204552%26oe%3D204559" TargetMode="External"/><Relationship Id="rId37" Type="http://schemas.openxmlformats.org/officeDocument/2006/relationships/hyperlink" Target="fdsup://factset/Doc%20Viewer%20Single?float_window=true&amp;positioning_strategy=center_on_screen&amp;_doc_docfn=U2FsdGVkX1//gzOYWQT6CcEgPJqbRuqjvmkV5WGLMWcP7DZt0ScrhTxxDdBM9KqWS0+lA2AW8cv1gxyLe2rPP/VaxXT27tKf2484jJPBIbY=&amp;_app_id=central_doc_viewer&amp;center_on_screen=true&amp;width=950&amp;height=800&amp;_dd2=%26f%3Dsld%26c%3Dtrue%26os%3D137015%26oe%3D137021" TargetMode="External"/><Relationship Id="rId58" Type="http://schemas.openxmlformats.org/officeDocument/2006/relationships/hyperlink" Target="fdsup://factset/Doc%20Viewer%20Single?float_window=true&amp;positioning_strategy=center_on_screen&amp;_doc_docfn=U2FsdGVkX18uOlb93L5JMWtUAwqXUM1j7utaP/nLcSvl5icZjl94Ae9NKnZCsX16gJd1ZfuOTjiUVu3DuhG+zVS66hGWi8ZwW2fverMzats=&amp;_app_id=central_doc_viewer&amp;center_on_screen=true&amp;width=950&amp;height=800&amp;_dd2=%26f%3Dsld%26c%3Dtrue%26os%3D138002%26oe%3D138008" TargetMode="External"/><Relationship Id="rId79" Type="http://schemas.openxmlformats.org/officeDocument/2006/relationships/hyperlink" Target="fdsup://factset/Doc%20Viewer%20Single?float_window=true&amp;positioning_strategy=center_on_screen&amp;_doc_docfn=U2FsdGVkX1+hW/IHzcPKsNLHKfibm230LpIhNHPlSLdeBpzxYDUuoxCqWmPOJrvAlCiq8dfSCqs8qYnEGjJy2/kewDpKDFQHjr1FeYD/Y5M=&amp;_app_id=central_doc_viewer&amp;center_on_screen=true&amp;width=950&amp;height=800&amp;_dd2=%26f%3Dsld%26c%3Dtrue%26os%3D70142%26oe%3D70147" TargetMode="External"/><Relationship Id="rId102" Type="http://schemas.openxmlformats.org/officeDocument/2006/relationships/hyperlink" Target="fdsup://factset/Doc%20Viewer%20Single?float_window=true&amp;positioning_strategy=center_on_screen&amp;_doc_docfn=U2FsdGVkX18LgCueaDG8r1Kv6spJJFwkhL60moxXUCG5Z54LGp9H8Dt5M89p2hzJcQJfan4tkHGFdFDXW6bbpNtCkHqRX5aaeL6WsVDFqwk=&amp;_app_id=central_doc_viewer&amp;center_on_screen=true&amp;width=950&amp;height=800&amp;_dd2=%26f%3Dsld%26c%3Dtrue%26os%3D142970%26oe%3D142976" TargetMode="External"/><Relationship Id="rId123" Type="http://schemas.openxmlformats.org/officeDocument/2006/relationships/hyperlink" Target="fdsup://factset/Doc%20Viewer%20Single?float_window=true&amp;positioning_strategy=center_on_screen&amp;_doc_docfn=U2FsdGVkX18fhbOKZQv3AaMM66o3nafe+I9gljAPsgf6UIZ+YlSEtJ9B8HjmXU2q7fUANZaMOmBotaGcAcdY+m8wcrQ/A9G7FziE23B9nDw=&amp;_app_id=central_doc_viewer&amp;center_on_screen=true&amp;width=950&amp;height=800&amp;_dd2=%26f%3Dsld%26c%3Dtrue%26os%3D286605%26oe%3D286611" TargetMode="External"/><Relationship Id="rId144" Type="http://schemas.openxmlformats.org/officeDocument/2006/relationships/hyperlink" Target="fdsup://factset/Doc%20Viewer%20Single?float_window=true&amp;positioning_strategy=center_on_screen&amp;_doc_docfn=U2FsdGVkX18CoOevTPSCrzXXQEgxYz9jKcZyix8IIPIYLzwefCCG6GTXtu9X1m4Vuf7ykNZFP5z071xWsKI0bYaqI/f62W8DDVVCgqikW/k=&amp;_app_id=central_doc_viewer&amp;center_on_screen=true&amp;width=950&amp;height=800&amp;_dd2=%26f%3Dsld%26c%3Dtrue%26os%3D144045%26oe%3D144049" TargetMode="External"/><Relationship Id="rId90" Type="http://schemas.openxmlformats.org/officeDocument/2006/relationships/hyperlink" Target="fdsup://factset/Doc%20Viewer%20Single?float_window=true&amp;positioning_strategy=center_on_screen&amp;_doc_docfn=U2FsdGVkX1/UvonJ2ftXCRUqIThEIpnO5Uif/bKZgdrm1GTIaPujPVuFrWh00gWBkIdGEb7QuaeB78vnj2wwbJLa33jZr5/K+CZqJ7Sbxz8=&amp;_app_id=central_doc_viewer&amp;center_on_screen=true&amp;width=950&amp;height=800&amp;_dd2=%26f%3Dsld%26c%3Dtrue%26os%3D141640%26oe%3D141646" TargetMode="External"/><Relationship Id="rId165" Type="http://schemas.openxmlformats.org/officeDocument/2006/relationships/hyperlink" Target="fdsup://factset/Doc%20Viewer%20Single?float_window=true&amp;positioning_strategy=center_on_screen&amp;_doc_docfn=U2FsdGVkX183XpsXx+uLyNhOiVJIZHQxctsUjmtO1nDKQr4Xfca5pv5XmB1z7lq9K//b/7VsTyPBSOMZqraUdC8GiyT7NySYIG6a8pMhdAk=&amp;_app_id=central_doc_viewer&amp;center_on_screen=true&amp;width=950&amp;height=800&amp;_dd2=%26f%3Dsld%26c%3Dtrue%26os%3D2881070%26oe%3D2881077" TargetMode="External"/><Relationship Id="rId186" Type="http://schemas.openxmlformats.org/officeDocument/2006/relationships/hyperlink" Target="fdsup://factset/Doc%20Viewer%20Single?float_window=true&amp;positioning_strategy=center_on_screen&amp;_doc_docfn=U2FsdGVkX1/0NEdUOzvyIwo2CV0ASrbn96RUl3ckyBUPOKo/f8QEqCmh7fvNR+L5JZKMa2YqvgUTF1Ar33ixURrYCYmxVcO83Iihw3W5s08=&amp;_app_id=central_doc_viewer&amp;center_on_screen=true&amp;width=950&amp;height=800&amp;_dd2=%26f%3Dsld%26c%3Dtrue%26os%3D2901129%26oe%3D2901138" TargetMode="External"/><Relationship Id="rId27" Type="http://schemas.openxmlformats.org/officeDocument/2006/relationships/hyperlink" Target="fdsup://factset/Doc%20Viewer%20Single?float_window=true&amp;positioning_strategy=center_on_screen&amp;_doc_docfn=U2FsdGVkX1/KQ7fMbDxkHMPqh15AwTGsLY4Eyue4M1oDAZjZEGtxmwD6ZfDKqQt74WMVXcTALVLO3m2h4vAdD9qaLax6TVfXzMjUdAtOQos=&amp;_app_id=central_doc_viewer&amp;center_on_screen=true&amp;width=950&amp;height=800&amp;_dd2=%26f%3Dsld%26c%3Dtrue%26os%3D136307%26oe%3D136314" TargetMode="External"/><Relationship Id="rId48" Type="http://schemas.openxmlformats.org/officeDocument/2006/relationships/hyperlink" Target="fdsup://factset/Doc%20Viewer%20Single?float_window=true&amp;positioning_strategy=center_on_screen&amp;_doc_docfn=U2FsdGVkX19Q8qBZqEoupNjpQHuUrSAK2/HRAOxHEuUBNNMPOq8hJbB2cGOMtGEfm0yflW3HrIdcPhd7SfkxrOGL7AFe6k2kSwbjA91fK80=&amp;_app_id=central_doc_viewer&amp;center_on_screen=true&amp;width=950&amp;height=800&amp;_dd2=%26f%3Dsld%26c%3Dtrue%26os%3D137265%26oe%3D137271" TargetMode="External"/><Relationship Id="rId69" Type="http://schemas.openxmlformats.org/officeDocument/2006/relationships/hyperlink" Target="fdsup://factset/Doc%20Viewer%20Single?float_window=true&amp;positioning_strategy=center_on_screen&amp;_doc_docfn=U2FsdGVkX1/GutqNL98bNfZARff8M7oOQVDeS6PbMliW0OyuAp58fOZfHMVM5+eD1+EgBq4eYeaejtrGP/9YGglqUwGhkPvzrFJ81kA9fxY=&amp;_app_id=central_doc_viewer&amp;center_on_screen=true&amp;width=950&amp;height=800&amp;_dd2=%26f%3Dsld%26c%3Dtrue%26os%3D69369%26oe%3D69375" TargetMode="External"/><Relationship Id="rId113" Type="http://schemas.openxmlformats.org/officeDocument/2006/relationships/hyperlink" Target="fdsup://factset/Doc%20Viewer%20Single?float_window=true&amp;positioning_strategy=center_on_screen&amp;_doc_docfn=U2FsdGVkX19+JaIhhUWG+CwryzvfHyMPoX1Enyfp00EXIfFNuE3bpwMvsfYY/v3xr3Ms/jTxY2EFUIwEetkck+dl6nofJJjQi0PJorCT5Jk=&amp;_app_id=central_doc_viewer&amp;center_on_screen=true&amp;width=950&amp;height=800&amp;_dd2=%26f%3Dsld%26c%3Dtrue%26os%3D72701%26oe%3D72707" TargetMode="External"/><Relationship Id="rId134" Type="http://schemas.openxmlformats.org/officeDocument/2006/relationships/hyperlink" Target="fdsup://factset/Doc%20Viewer%20Single?float_window=true&amp;positioning_strategy=center_on_screen&amp;_doc_docfn=U2FsdGVkX183N2OJAJvb/FPTB1iDseEPbbnsVACFb/MpvQMJGdyPiINwFrzm/huuqyyM5jUksjpJBcURgfvr3FXLsS25xQEpS0+MjBeJ8P4=&amp;_app_id=central_doc_viewer&amp;center_on_screen=true&amp;width=950&amp;height=800&amp;_dd2=%26f%3Dsld%26c%3Dtrue%26os%3D144015%26oe%3D144020" TargetMode="External"/><Relationship Id="rId80" Type="http://schemas.openxmlformats.org/officeDocument/2006/relationships/hyperlink" Target="fdsup://factset/Doc%20Viewer%20Single?float_window=true&amp;positioning_strategy=center_on_screen&amp;_doc_docfn=U2FsdGVkX1/uC3DFFTfsWKnJtY6h17N2XlRkuadIJ+Z4i4AqhJsmH51u/5ayCv3Bg9ASb8TemueG0mbnv6KshTtJaoR6weDjW/xZK2wOA90=&amp;_app_id=central_doc_viewer&amp;center_on_screen=true&amp;width=950&amp;height=800&amp;_dd2=%26f%3Dsld%26c%3Dtrue%26os%3D140833%26oe%3D140838" TargetMode="External"/><Relationship Id="rId155" Type="http://schemas.openxmlformats.org/officeDocument/2006/relationships/hyperlink" Target="fdsup://factset/Doc%20Viewer%20Single?float_window=true&amp;positioning_strategy=center_on_screen&amp;_doc_docfn=U2FsdGVkX184AMZ+TH0Wfyf8q91eh1u/078GhpBqeZtJqQULx7hREda557CJ7FsqEuFgyRiL0YnAmAC3LKE5sDXyXCb3YloKHH1vnBi1M5c=&amp;_app_id=central_doc_viewer&amp;center_on_screen=true&amp;width=950&amp;height=800&amp;_dd2=%26f%3Dsld%26c%3Dtrue%26os%3D3636889%26oe%3D3636896" TargetMode="External"/><Relationship Id="rId176" Type="http://schemas.openxmlformats.org/officeDocument/2006/relationships/hyperlink" Target="fdsup://factset/Doc%20Viewer%20Single?float_window=true&amp;positioning_strategy=center_on_screen&amp;_doc_docfn=U2FsdGVkX1+l57FxjrWnbojcrnCVUtxd5lGy/m8SUFdoIdHM8fjAVA9n01wcdIAQh6dIeOGWAxX3SAsP6SpRE09Ld9gxKUe6DoNO+QybVN8=&amp;_app_id=central_doc_viewer&amp;center_on_screen=true&amp;width=950&amp;height=800&amp;_dd2=%26f%3Dsld%26c%3Dtrue%26os%3D3657300%26oe%3D3657307" TargetMode="External"/><Relationship Id="rId17" Type="http://schemas.openxmlformats.org/officeDocument/2006/relationships/hyperlink" Target="fdsup://factset/Doc%20Viewer%20Single?float_window=true&amp;positioning_strategy=center_on_screen&amp;_doc_docfn=U2FsdGVkX1/T/cAgYs/PpUibY8opOmeorEDEZ9vgZxpaOZu1Rmi6a4TVh4yLbhd/PylYyCHi5zbFI4iNGdkmYlclBkIv7NvxnGgvFS9RWIA=&amp;_app_id=central_doc_viewer&amp;center_on_screen=true&amp;width=950&amp;height=800&amp;_dd2=%26f%3Dsld%26c%3Dtrue%26os%3D139915%26oe%3D139922" TargetMode="External"/><Relationship Id="rId38" Type="http://schemas.openxmlformats.org/officeDocument/2006/relationships/hyperlink" Target="fdsup://factset/Doc%20Viewer%20Single?float_window=true&amp;positioning_strategy=center_on_screen&amp;_doc_docfn=U2FsdGVkX19Ue6XE8uuHjvr0DBJnSZdbWBwXHaLvjq0JJXNeTKm2MyweiwPmMapYeeAvoBzJILwKnuqu3wQw/cb8UGsagpYDp6wcGh5qxVc=&amp;_app_id=central_doc_viewer&amp;center_on_screen=true&amp;width=950&amp;height=800&amp;_dd2=%26f%3Dsld%26c%3Dtrue%26os%3D136534%26oe%3D136540" TargetMode="External"/><Relationship Id="rId59" Type="http://schemas.openxmlformats.org/officeDocument/2006/relationships/hyperlink" Target="fdsup://factset/Doc%20Viewer%20Single?float_window=true&amp;positioning_strategy=center_on_screen&amp;_doc_docfn=U2FsdGVkX1+avTOeOpa8Pfy+Ygeo7jodcibkHW/4xAE4Cg+VXtwY9glsioJugH2wpKVe+TEBzweO44jPScAmvF81j4xSMg7P8YuJe4evyLs=&amp;_app_id=central_doc_viewer&amp;center_on_screen=true&amp;width=950&amp;height=800&amp;_dd2=%26f%3Dsld%26c%3Dtrue%26os%3D136635%26oe%3D136641" TargetMode="External"/><Relationship Id="rId103" Type="http://schemas.openxmlformats.org/officeDocument/2006/relationships/hyperlink" Target="fdsup://factset/Doc%20Viewer%20Single?float_window=true&amp;positioning_strategy=center_on_screen&amp;_doc_docfn=U2FsdGVkX1/hIHir47cYnNOlvAQOY32dl91VIzy2Oey842FL/sOZAZkwCvsF5f+9Tv0iuui4wUIviQT2M09wRAHlceYfXlnAozwb6PK270Q=&amp;_app_id=central_doc_viewer&amp;center_on_screen=true&amp;width=950&amp;height=800&amp;_dd2=%26f%3Dsld%26c%3Dtrue%26os%3D141791%26oe%3D141797" TargetMode="External"/><Relationship Id="rId124" Type="http://schemas.openxmlformats.org/officeDocument/2006/relationships/hyperlink" Target="fdsup://factset/Doc%20Viewer%20Single?float_window=true&amp;positioning_strategy=center_on_screen&amp;_doc_docfn=U2FsdGVkX1/pNk4PD91sLmpanU1vji9fIJWvRG/bQ2ZvEwEgyePliSKLpiNzQ8vKEcW5RLptE7g7sHfdCAGkdAG50zIqqv6IoD/jvoXq7/E=&amp;_app_id=central_doc_viewer&amp;center_on_screen=true&amp;width=950&amp;height=800&amp;_dd2=%26f%3Dsld%26c%3Dtrue%26os%3D76520%26oe%3D76526" TargetMode="External"/><Relationship Id="rId70" Type="http://schemas.openxmlformats.org/officeDocument/2006/relationships/hyperlink" Target="fdsup://factset/Doc%20Viewer%20Single?float_window=true&amp;positioning_strategy=center_on_screen&amp;_doc_docfn=U2FsdGVkX1/8MHxzMUVHcBuKrZm6l6wTxXniowOTqXk/P6OfP3weLxA5U0WlJllGrNeq/eaWxBmt9SKYeFCNjhjDi7TLZUaeg63Qz4iE1R8=&amp;_app_id=central_doc_viewer&amp;center_on_screen=true&amp;width=950&amp;height=800&amp;_dd2=%26f%3Dsld%26c%3Dtrue%26os%3D140116%26oe%3D140122" TargetMode="External"/><Relationship Id="rId91" Type="http://schemas.openxmlformats.org/officeDocument/2006/relationships/hyperlink" Target="fdsup://factset/Doc%20Viewer%20Single?float_window=true&amp;positioning_strategy=center_on_screen&amp;_doc_docfn=U2FsdGVkX19CBEbVy5cK84yBsg6tX3i5e1muhzxTw8YT7y/+9m+ALpJPLQlUxiJ3eAG9dF9iBM5dJy3wKoft0m2KCvc2VmVrTECoMLSwfnc=&amp;_app_id=central_doc_viewer&amp;center_on_screen=true&amp;width=950&amp;height=800&amp;_dd2=%26f%3Dsld%26c%3Dtrue%26os%3D206783%26oe%3D206789" TargetMode="External"/><Relationship Id="rId145" Type="http://schemas.openxmlformats.org/officeDocument/2006/relationships/hyperlink" Target="fdsup://factset/Doc%20Viewer%20Single?float_window=true&amp;positioning_strategy=center_on_screen&amp;_doc_docfn=U2FsdGVkX189UdvtOigUL9h5HZF+xOsn1DAzrKrCRayz6g1Bj4IuZvHGqCy862DzhMVLeJpow8JdaSimZ8+FLMaUU8SMGLsaTFdvLRmDqhg=&amp;_app_id=central_doc_viewer&amp;center_on_screen=true&amp;width=950&amp;height=800&amp;_dd2=%26f%3Dsld%26c%3Dtrue%26os%3D142680%26oe%3D142686" TargetMode="External"/><Relationship Id="rId166" Type="http://schemas.openxmlformats.org/officeDocument/2006/relationships/hyperlink" Target="fdsup://factset/Doc%20Viewer%20Single?float_window=true&amp;positioning_strategy=center_on_screen&amp;_doc_docfn=U2FsdGVkX1+LmakZQI6JO5P4qwgv7xrSGQOLIedVGkMVeGA9P6f0ea28S35TsFf5CKv+EMhXLModCQI7JawieXwhPCg+xSUeZrkZztnXU0s=&amp;_app_id=central_doc_viewer&amp;center_on_screen=true&amp;width=950&amp;height=800&amp;_dd2=%26f%3Dsld%26c%3Dtrue%26os%3D1023039%26oe%3D1023042" TargetMode="External"/><Relationship Id="rId187" Type="http://schemas.openxmlformats.org/officeDocument/2006/relationships/hyperlink" Target="fdsup://factset/Doc%20Viewer%20Single?float_window=true&amp;positioning_strategy=center_on_screen&amp;_doc_docfn=U2FsdGVkX1+YavLQGuw+39sz9lRWSx8wk6xfHIudy+G6BVnDWMKQKwNaJj7nzdrsbiwWC8qJWE4XSWWtgDMh9qdjnoV0F2bW5+FStDnuj+Q=&amp;_app_id=central_doc_viewer&amp;center_on_screen=true&amp;width=950&amp;height=800&amp;_dd2=%26f%3Dsld%26c%3Dtrue%26os%3D1044997%26oe%3D1045002" TargetMode="External"/><Relationship Id="rId1" Type="http://schemas.openxmlformats.org/officeDocument/2006/relationships/hyperlink" Target="fdsup://factset/Doc%20Viewer%20Single?float_window=true&amp;positioning_strategy=center_on_screen&amp;_doc_docfn=U2FsdGVkX183bqSVKSg2YY8zpvcU2fDYW3b0bXOgHeY/h+QsQmmBy07x2jYWUAvRbcSBIbzuKO5PwvUrFgFoZzgrIzZ8UJ8i7GOr847KEkY=&amp;_app_id=central_doc_viewer&amp;center_on_screen=true&amp;width=950&amp;height=800&amp;_dd2=%26f%3Dsld%26c%3Dtrue%26os%3D245440%26oe%3D245446" TargetMode="External"/><Relationship Id="rId28" Type="http://schemas.openxmlformats.org/officeDocument/2006/relationships/hyperlink" Target="fdsup://factset/Doc%20Viewer%20Single?float_window=true&amp;positioning_strategy=center_on_screen&amp;_doc_docfn=U2FsdGVkX1/DTuU1jXvjCBLAdvxZ6TQ3SM8I/8oJXBzVs3+DpO2kPlnu9UQholcw13P1FWpHpbLT+fyL9FFxj7I9iKnLnfH76tE3PCXgm48=&amp;_app_id=central_doc_viewer&amp;center_on_screen=true&amp;width=950&amp;height=800&amp;_dd2=%26f%3Dsld%26c%3Dtrue%26os%3D135824%26oe%3D135831" TargetMode="External"/><Relationship Id="rId49" Type="http://schemas.openxmlformats.org/officeDocument/2006/relationships/hyperlink" Target="fdsup://factset/Doc%20Viewer%20Single?float_window=true&amp;positioning_strategy=center_on_screen&amp;_doc_docfn=U2FsdGVkX18Rk+wu+e6eKrzzgAedTX2AqPQhkuZ5kTxOwS++vuP/R46ksaR6yqH27w8/OCf9oTULo5UPBMKsgu4nN7KsqhGdkTadTg6wlZw=&amp;_app_id=central_doc_viewer&amp;center_on_screen=true&amp;width=950&amp;height=800&amp;_dd2=%26f%3Dsld%26c%3Dtrue%26os%3D135898%26oe%3D135904" TargetMode="External"/><Relationship Id="rId114" Type="http://schemas.openxmlformats.org/officeDocument/2006/relationships/hyperlink" Target="fdsup://factset/Doc%20Viewer%20Single?float_window=true&amp;positioning_strategy=center_on_screen&amp;_doc_docfn=U2FsdGVkX18oXySTft1Ixl8bDyp/uJJ6XF4RBQyfptUe1AdPTUWGUkMc9x3nhQgGoR52t3cabmtwsuDMWREC1nmKhOFqR2ihkhT3w1JTkd0=&amp;_app_id=central_doc_viewer&amp;center_on_screen=true&amp;width=950&amp;height=800&amp;_dd2=%26f%3Dsld%26c%3Dtrue%26os%3D143227%26oe%3D143233" TargetMode="External"/><Relationship Id="rId60" Type="http://schemas.openxmlformats.org/officeDocument/2006/relationships/hyperlink" Target="fdsup://factset/Doc%20Viewer%20Single?float_window=true&amp;positioning_strategy=center_on_screen&amp;_doc_docfn=U2FsdGVkX18V9pU6QhrsHarEhVSlYwAfbe5Av/2TP7iyC5w0hgOwbBQHUI4STWyEVV6WT/JvwngOtZmwkouC9cN8NZgxOVhuGGrHwCXsKSw=&amp;_app_id=central_doc_viewer&amp;center_on_screen=true&amp;width=950&amp;height=800&amp;_dd2=%26f%3Dsld%26c%3Dtrue%26os%3D133801%26oe%3D133807" TargetMode="External"/><Relationship Id="rId81" Type="http://schemas.openxmlformats.org/officeDocument/2006/relationships/hyperlink" Target="fdsup://factset/Doc%20Viewer%20Single?float_window=true&amp;positioning_strategy=center_on_screen&amp;_doc_docfn=U2FsdGVkX1+cMn8mYF+6VOcgWBf+ZP+GtZUErUoohIR2JRzQ+zWTMJWTfDbDirkMSoV4KY7VpRsKByBRxC4Ehyd0tej5/WHJm6OfmwNLNls=&amp;_app_id=central_doc_viewer&amp;center_on_screen=true&amp;width=950&amp;height=800&amp;_dd2=%26f%3Dsld%26c%3Dtrue%26os%3D205976%26oe%3D205981" TargetMode="External"/><Relationship Id="rId135" Type="http://schemas.openxmlformats.org/officeDocument/2006/relationships/hyperlink" Target="fdsup://factset/Doc%20Viewer%20Single?float_window=true&amp;positioning_strategy=center_on_screen&amp;_doc_docfn=U2FsdGVkX188VafywCX2qDU8hETj9NFcuzgnmw62ZqVUp3KAsnD+XIJdIIpwoQkhJ5RRP5oaFJ3O96SjzzglGBmmam8tzFEvtqsbsNU8bQc=&amp;_app_id=central_doc_viewer&amp;center_on_screen=true&amp;width=950&amp;height=800&amp;_dd2=%26f%3Dsld%26c%3Dtrue%26os%3D209156%26oe%3D209163" TargetMode="External"/><Relationship Id="rId156" Type="http://schemas.openxmlformats.org/officeDocument/2006/relationships/hyperlink" Target="fdsup://factset/Doc%20Viewer%20Single?float_window=true&amp;positioning_strategy=center_on_screen&amp;_doc_docfn=U2FsdGVkX1+jyh/wSjgX/uhVl6mn1WVTzSrMWo4KhiW6P3KQLYVMUk0InO8iOxj/eLapaF6hRHD7Dgoq6R+wgDmwimqRXJh/Ro1VwN6vZcs=&amp;_app_id=central_doc_viewer&amp;center_on_screen=true&amp;width=950&amp;height=800&amp;_dd2=%26f%3Dsld%26c%3Dtrue%26os%3D1213984%26oe%3D1213991" TargetMode="External"/><Relationship Id="rId177" Type="http://schemas.openxmlformats.org/officeDocument/2006/relationships/hyperlink" Target="fdsup://factset/Doc%20Viewer%20Single?float_window=true&amp;positioning_strategy=center_on_screen&amp;_doc_docfn=U2FsdGVkX18JlrXt+BIV8STDDTjNH2W3i5YbZYrFsE+3ZTlSso8YCFbK5/rbq50uTDz7OPcYOSR9hdcj+gJrdf9RjKNwfwlh1xgRxwzddTE=&amp;_app_id=central_doc_viewer&amp;center_on_screen=true&amp;width=950&amp;height=800&amp;_dd2=%26f%3Dsld%26c%3Dtrue%26os%3D1209099%26oe%3D120910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dsup://factset/Doc%20Viewer%20Single?float_window=true&amp;positioning_strategy=center_on_screen&amp;_doc_docfn=U2FsdGVkX19DetUhN4PIc6dHdXKPhUtGUX/g6ARIVIoeldD4opN7F1H2sBV12AcA3gGX/Ch/G2Am8k8DxQhtmLJIumkWpqZxnBZVpUW0sGY=&amp;_app_id=central_doc_viewer&amp;center_on_screen=true&amp;width=950&amp;height=800&amp;_dd2=%26f%3Dsld%26c%3Dtrue%26os%3D372059%26oe%3D372062" TargetMode="External"/><Relationship Id="rId299" Type="http://schemas.openxmlformats.org/officeDocument/2006/relationships/hyperlink" Target="fdsup://factset/Doc%20Viewer%20Single?float_window=true&amp;positioning_strategy=center_on_screen&amp;_doc_docfn=U2FsdGVkX1/6I9aeDwXyCcLEavuXb9Wlvd72lVNocxUSL4FYUEN71fgzfGFZca+yd7bjLnpC9uf7foKfqTX2/hTiLfTFfZGkEVMkbw4Qzxc=&amp;_app_id=central_doc_viewer&amp;center_on_screen=true&amp;width=950&amp;height=800&amp;_dd2=%26f%3Dsld%26c%3Dtrue%26os%3D155543%26oe%3D155546" TargetMode="External"/><Relationship Id="rId21" Type="http://schemas.openxmlformats.org/officeDocument/2006/relationships/hyperlink" Target="fdsup://factset/Doc%20Viewer%20Single?float_window=true&amp;positioning_strategy=center_on_screen&amp;_doc_docfn=U2FsdGVkX19J5gZQt7EtYkJYL25IO3fOKAH6a0t+a010rQgydJCYs4cJmr2vc5ZkhLZ9BNwyWpAvoHpyAIXvzN7fuAw8zK8q+zVdBJb/UYM=&amp;_app_id=central_doc_viewer&amp;center_on_screen=true&amp;width=950&amp;height=800&amp;_dd2=%26f%3Dsld%26c%3Dtrue%26os%3D359058%26oe%3D359063" TargetMode="External"/><Relationship Id="rId63" Type="http://schemas.openxmlformats.org/officeDocument/2006/relationships/hyperlink" Target="fdsup://factset/Doc%20Viewer%20Single?float_window=true&amp;positioning_strategy=center_on_screen&amp;_doc_docfn=U2FsdGVkX1/lYwWCFrmSYu9+Iq/xnJebqJfZ0fo+vyfaV9Cw5ndo64D6Kk6/CqJOLM6geSvBM8XUht5mUW+PiBLH1pBrixIOJBRwoVmg8Ok=&amp;_app_id=central_doc_viewer&amp;center_on_screen=true&amp;width=950&amp;height=800&amp;_dd2=%26f%3Dsld%26c%3Dtrue%26os%3D227136%26oe%3D227144" TargetMode="External"/><Relationship Id="rId159" Type="http://schemas.openxmlformats.org/officeDocument/2006/relationships/hyperlink" Target="fdsup://factset/Doc%20Viewer%20Single?float_window=true&amp;positioning_strategy=center_on_screen&amp;_doc_docfn=U2FsdGVkX18cDIm1AllbIGcHvVvTwKaZOB9ESQmwCP0Guz4EyWLx4IHUwB5VWA2uR9Omi6FvGYG4XlOXD7BDk/wGj4mWa6QKeLCBOu3Nt90=&amp;_app_id=central_doc_viewer&amp;center_on_screen=true&amp;width=950&amp;height=800&amp;_dd2=%26f%3Dsld%26c%3Dtrue%26os%3D239640%26oe%3D239648" TargetMode="External"/><Relationship Id="rId324" Type="http://schemas.openxmlformats.org/officeDocument/2006/relationships/hyperlink" Target="fdsup://factset/Doc%20Viewer%20Single?float_window=true&amp;positioning_strategy=center_on_screen&amp;_doc_docfn=U2FsdGVkX18DTz4jX1MD34px6BPPftKCmZc6ZHDvBRyq7N7KS3G7PLQuq02psmo/VLvsIkMXemP5HChnUcSO9yDRTBP3+zdS2D07KISVurE=&amp;_app_id=central_doc_viewer&amp;center_on_screen=true&amp;width=950&amp;height=800&amp;_dd2=%26f%3Dsld%26c%3Dtrue%26os%3D388683%26oe%3D388688" TargetMode="External"/><Relationship Id="rId170" Type="http://schemas.openxmlformats.org/officeDocument/2006/relationships/hyperlink" Target="fdsup://factset/Doc%20Viewer%20Single?float_window=true&amp;positioning_strategy=center_on_screen&amp;_doc_docfn=U2FsdGVkX1/4C3PoLq6ZGZvtq4vV0zszvFw7UCuwrHhViqThGymK/C7uh5V3gpGejPAAIZ77PyMEBU4aIzljBA4y4vGWyd5Y2/H/8YBOeBA=&amp;_app_id=central_doc_viewer&amp;center_on_screen=true&amp;width=950&amp;height=800&amp;_dd2=%26f%3Dsld%26c%3Dtrue%26os%3D231447%26oe%3D231455" TargetMode="External"/><Relationship Id="rId226" Type="http://schemas.openxmlformats.org/officeDocument/2006/relationships/hyperlink" Target="fdsup://factset/Doc%20Viewer%20Single?float_window=true&amp;positioning_strategy=center_on_screen&amp;_doc_docfn=U2FsdGVkX1/p7o/4oJC4rIDcK1sxdgWkofhtumqiXU66BebG5JJClTKDLJevEs1C7tsdasEvWTdTLTBt712PH93wFgYbWxt9I+QtJMeUT6M=&amp;_app_id=central_doc_viewer&amp;center_on_screen=true&amp;width=950&amp;height=800&amp;_dd2=%26f%3Dsld%26c%3Dtrue%26os%3D158442%26oe%3D158443" TargetMode="External"/><Relationship Id="rId268" Type="http://schemas.openxmlformats.org/officeDocument/2006/relationships/hyperlink" Target="fdsup://factset/Doc%20Viewer%20Single?float_window=true&amp;positioning_strategy=center_on_screen&amp;_doc_docfn=U2FsdGVkX19Qf9vzx7bBmE/eOALM7YqWi6ZzLV2t5FyFB/VthLvoX2kPIOgyxQ1ca08yRkU5/2jFLuQaDLvO0VfUrAFO2NxuosfnH6dx0AI=&amp;_app_id=central_doc_viewer&amp;center_on_screen=true&amp;width=950&amp;height=800&amp;_dd2=%26f%3Dsld%26c%3Dtrue%26os%3D193132%26oe%3D193139" TargetMode="External"/><Relationship Id="rId32" Type="http://schemas.openxmlformats.org/officeDocument/2006/relationships/hyperlink" Target="fdsup://factset/Doc%20Viewer%20Single?float_window=true&amp;positioning_strategy=center_on_screen&amp;_doc_docfn=U2FsdGVkX19E1IPnWqM394quOnzkMFOH5CISFvtGJE5AR8FIqCRxIXCcWNwdysqALMZB17BoEjGegBGip4HDfzBkC2vYTrZKSnSBlQ6zN5Q=&amp;_app_id=central_doc_viewer&amp;center_on_screen=true&amp;width=950&amp;height=800&amp;_dd2=%26f%3Dsld%26c%3Dtrue%26os%3D169584%26oe%3D169587" TargetMode="External"/><Relationship Id="rId74" Type="http://schemas.openxmlformats.org/officeDocument/2006/relationships/hyperlink" Target="fdsup://factset/Doc%20Viewer%20Single?float_window=true&amp;positioning_strategy=center_on_screen&amp;_doc_docfn=U2FsdGVkX1+hZ+Mv1sUtCt9snhaKpJxDCekdVh9sTRBgjH1rvTAGKjAXYy874Y/JHr0iuuRpdWtLruqbabo6hgkLfRScicnCnQHDMs/8BVs=&amp;_app_id=central_doc_viewer&amp;center_on_screen=true&amp;width=950&amp;height=800&amp;_dd2=%26f%3Dsld%26c%3Dtrue%26os%3D223961%26oe%3D223966" TargetMode="External"/><Relationship Id="rId128" Type="http://schemas.openxmlformats.org/officeDocument/2006/relationships/hyperlink" Target="fdsup://factset/Doc%20Viewer%20Single?float_window=true&amp;positioning_strategy=center_on_screen&amp;_doc_docfn=U2FsdGVkX1+l0HBmOEXGJ4SjCC4yvS38a1iQIE9I/5Yqf5169TK2C5B8nUuhDAP2IoRjo83j7v98lubdDWJohoT1Pfcbc2uaWnDTxfZx9kc=&amp;_app_id=central_doc_viewer&amp;center_on_screen=true&amp;width=950&amp;height=800&amp;_dd2=%26f%3Dsld%26c%3Dtrue%26os%3D231931%26oe%3D231936" TargetMode="External"/><Relationship Id="rId335" Type="http://schemas.openxmlformats.org/officeDocument/2006/relationships/hyperlink" Target="fdsup://factset/Doc%20Viewer%20Single?float_window=true&amp;positioning_strategy=center_on_screen&amp;_doc_docfn=U2FsdGVkX18mD+WYyQilifgzFBvU+BcakH0ZzHoxc6mIJXk9iwsZ3Nyt6i+RcrF5jlOF3/MGSX3jPl5lJ7cl3ZwE5JPBYLMXlQkWYkBcGKY=&amp;_app_id=central_doc_viewer&amp;center_on_screen=true&amp;width=950&amp;height=800&amp;_dd2=%26f%3Dsld%26c%3Dtrue%26os%3D1279994%26oe%3D1280000" TargetMode="External"/><Relationship Id="rId5" Type="http://schemas.openxmlformats.org/officeDocument/2006/relationships/hyperlink" Target="fdsup://factset/Doc%20Viewer%20Single?float_window=true&amp;positioning_strategy=center_on_screen&amp;_doc_docfn=U2FsdGVkX1+Rb4e6gH545rAQM1jMdEw0YOzMUjqoQRKxvAMiErsUiOJHlV3GiP3+5LYxka7hNkIqq/4OkCbYMwOUtQe0npAUT5UsOTsjVtE=&amp;_app_id=central_doc_viewer&amp;center_on_screen=true&amp;width=950&amp;height=800&amp;_dd2=%26f%3Dsld%26c%3Dtrue%26os%3D247556%26oe%3D247562" TargetMode="External"/><Relationship Id="rId181" Type="http://schemas.openxmlformats.org/officeDocument/2006/relationships/hyperlink" Target="fdsup://factset/Doc%20Viewer%20Single?float_window=true&amp;positioning_strategy=center_on_screen&amp;_doc_docfn=U2FsdGVkX18jSB92M7B892r8fwxOTQrsd3ygh5tjASeAmg2mhGfd8anvXCX+9qmTnWqvkNiH2RZoZPPeJ8zss84H6ot+d4707SA0iTqdRhw=&amp;_app_id=central_doc_viewer&amp;center_on_screen=true&amp;width=950&amp;height=800&amp;_dd2=%26f%3Dsld%26c%3Dtrue%26os%3D408093%26oe%3D408101" TargetMode="External"/><Relationship Id="rId237" Type="http://schemas.openxmlformats.org/officeDocument/2006/relationships/hyperlink" Target="fdsup://factset/Doc%20Viewer%20Single?float_window=true&amp;positioning_strategy=center_on_screen&amp;_doc_docfn=U2FsdGVkX18tJ7P1VGFwpONStd9n98ga57YFVwilUm/JO09I/ROzEU1t+afFjQVS/rDjroZFXrkYRSAfd+vLnjjbvMDB58tA26KUPoNIZ9w=&amp;_app_id=central_doc_viewer&amp;center_on_screen=true&amp;width=950&amp;height=800&amp;_dd2=%26f%3Dsld%26c%3Dtrue%26os%3D188530%26oe%3D188531" TargetMode="External"/><Relationship Id="rId279" Type="http://schemas.openxmlformats.org/officeDocument/2006/relationships/hyperlink" Target="fdsup://factset/Doc%20Viewer%20Single?float_window=true&amp;positioning_strategy=center_on_screen&amp;_doc_docfn=U2FsdGVkX1+0/IbHYDznVEwzy7eC9EEFrEev85QNWHIPmwTXwiub3qCFMnq6T6x8mWq25NR41lubHbw9vadogyX7g3NvzFWw4JEOcNBjaKw=&amp;_app_id=central_doc_viewer&amp;center_on_screen=true&amp;width=950&amp;height=800&amp;_dd2=%26f%3Dsld%26c%3Dtrue%26os%3D193947%26oe%3D193952" TargetMode="External"/><Relationship Id="rId43" Type="http://schemas.openxmlformats.org/officeDocument/2006/relationships/hyperlink" Target="fdsup://factset/Doc%20Viewer%20Single?float_window=true&amp;positioning_strategy=center_on_screen&amp;_doc_docfn=U2FsdGVkX1/gOs0OwMPcVU4xyxvy4kkwqbeozdfSH/7VgnqXcLaA83crlvlR140MTUZ7CnDKlsaEb/T3YD8kZ1yY2R6/goxMFASr81222uk=&amp;_app_id=central_doc_viewer&amp;center_on_screen=true&amp;width=950&amp;height=800&amp;_dd2=%26f%3Dsld%26c%3Dtrue%26os%3D239000%26oe%3D239006" TargetMode="External"/><Relationship Id="rId139" Type="http://schemas.openxmlformats.org/officeDocument/2006/relationships/hyperlink" Target="fdsup://factset/Doc%20Viewer%20Single?float_window=true&amp;positioning_strategy=center_on_screen&amp;_doc_docfn=U2FsdGVkX1+B2HcvGIIp84M6NruHvm4/sxWWK8bS3fDKskSx1ABWLHEKoxvzpKL7WlFmCUzJ2lxIpls5eXWEHoTNKJGieyZMBHgIo8rk90w=&amp;_app_id=central_doc_viewer&amp;center_on_screen=true&amp;width=950&amp;height=800&amp;_dd2=%26f%3Dsld%26c%3Dtrue%26os%3D231339%26oe%3D231344" TargetMode="External"/><Relationship Id="rId290" Type="http://schemas.openxmlformats.org/officeDocument/2006/relationships/hyperlink" Target="fdsup://factset/Doc%20Viewer%20Single?float_window=true&amp;positioning_strategy=center_on_screen&amp;_doc_docfn=U2FsdGVkX1+aPagcBVqz1PvGDy1Ey6g6sTcIF11KENm9iQgWLQyblahqizj5GyA6XRWfp/p1n1dsQzSP7MAOn+nYh6OeFLbZeJXi+Zp+K4Y=&amp;_app_id=central_doc_viewer&amp;center_on_screen=true&amp;width=950&amp;height=800&amp;_dd2=%26f%3Dsld%26c%3Dtrue%26os%3D165562%26oe%3D165569" TargetMode="External"/><Relationship Id="rId304" Type="http://schemas.openxmlformats.org/officeDocument/2006/relationships/hyperlink" Target="fdsup://factset/Doc%20Viewer%20Single?float_window=true&amp;positioning_strategy=center_on_screen&amp;_doc_docfn=U2FsdGVkX1+ASNotK6msd5ynw4E91oUHMYCrjBH49QOovD5NNvb5Zs6TrHBAJckSyz14UYrUeCf6QDUhVVDOnzv3Ew2zzIznO34L6g+B9Gw=&amp;_app_id=central_doc_viewer&amp;center_on_screen=true&amp;width=950&amp;height=800&amp;_dd2=%26f%3Dsld%26c%3Dtrue%26os%3D241366%26oe%3D241367" TargetMode="External"/><Relationship Id="rId346" Type="http://schemas.openxmlformats.org/officeDocument/2006/relationships/hyperlink" Target="fdsup://factset/Doc%20Viewer%20Single?float_window=true&amp;positioning_strategy=center_on_screen&amp;_doc_docfn=U2FsdGVkX19d31S6a1Q234S6A3J/c0T11U+yBNFjHO3QiOi9mRXV8lCdeW+VCKi6Ry1iUvMlYEyKess0bOexhw1GjGvQ3PsCyi3VPjpkWVY=&amp;_app_id=central_doc_viewer&amp;center_on_screen=true&amp;width=950&amp;height=800&amp;_dd2=%26f%3Dsld%26c%3Dtrue%26os%3D247409%26oe%3D247415" TargetMode="External"/><Relationship Id="rId85" Type="http://schemas.openxmlformats.org/officeDocument/2006/relationships/hyperlink" Target="fdsup://factset/Doc%20Viewer%20Single?float_window=true&amp;positioning_strategy=center_on_screen&amp;_doc_docfn=U2FsdGVkX192QxNik+cbieo8xFlfl7I1VSn6Prp33mWpHUDlJgBnk2r/GSxzvLv0nhmK17oz7ARuPBwrF5mPB66PI/8miqhF0DQbWXxtCO0=&amp;_app_id=central_doc_viewer&amp;center_on_screen=true&amp;width=950&amp;height=800&amp;_dd2=%26f%3Dsld%26c%3Dtrue%26os%3D135507%26oe%3D135514" TargetMode="External"/><Relationship Id="rId150" Type="http://schemas.openxmlformats.org/officeDocument/2006/relationships/hyperlink" Target="fdsup://factset/Doc%20Viewer%20Single?float_window=true&amp;positioning_strategy=center_on_screen&amp;_doc_docfn=U2FsdGVkX189C1uOyjDaYnjTDP4VIKEjNGAqLaQmI1UK8CFH9oyn/KJu4Y5/M/M9z4vytnXhJeR00DV8bYKDfuaoW1ieubTZLWbraSOcUy4=&amp;_app_id=central_doc_viewer&amp;center_on_screen=true&amp;width=950&amp;height=800&amp;_dd2=%26f%3Dsld%26c%3Dtrue%26os%3D229540%26oe%3D229543" TargetMode="External"/><Relationship Id="rId192" Type="http://schemas.openxmlformats.org/officeDocument/2006/relationships/hyperlink" Target="fdsup://factset/Doc%20Viewer%20Single?float_window=true&amp;positioning_strategy=center_on_screen&amp;_doc_docfn=U2FsdGVkX19wpq69tDis3ThKz+/71qEjNPmSgb7+Wd+3/q5ODv4QhEH32ltV0SrrvWDIaR40jsSns1yKBaE4ciTHs+MvJJUnAHVQPCGcu1U=&amp;_app_id=central_doc_viewer&amp;center_on_screen=true&amp;width=950&amp;height=800&amp;_dd2=%26f%3Dsld%26c%3Dtrue%26os%3D184292%26oe%3D184298" TargetMode="External"/><Relationship Id="rId206" Type="http://schemas.openxmlformats.org/officeDocument/2006/relationships/hyperlink" Target="fdsup://factset/Doc%20Viewer%20Single?float_window=true&amp;positioning_strategy=center_on_screen&amp;_doc_docfn=U2FsdGVkX1840PZOAee7+KQuNq4G/MTPMVvIjBg102rYq/6y13haQtTmcFlvEX/No3bOmTws11UTJ5yB9bzZi/i+zRZzzIseaAGniedxvIM=&amp;_app_id=central_doc_viewer&amp;center_on_screen=true&amp;width=950&amp;height=800&amp;_dd2=%26f%3Dsld%26c%3Dtrue%26os%3D378617%26oe%3D378624" TargetMode="External"/><Relationship Id="rId248" Type="http://schemas.openxmlformats.org/officeDocument/2006/relationships/hyperlink" Target="fdsup://factset/Doc%20Viewer%20Single?float_window=true&amp;positioning_strategy=center_on_screen&amp;_doc_docfn=U2FsdGVkX19XYF1VJ/1G8Zu79KGsfnL2blygKNd2IdRh6obuSaIoO62hF22R9bBaYUx065Vwu8XPhVsMfw5p++zYxdq3RJiMFJbNSdCkL34=&amp;_app_id=central_doc_viewer&amp;center_on_screen=true&amp;width=950&amp;height=800&amp;_dd2=%26f%3Dsld%26c%3Dtrue%26os%3D386892%26oe%3D386900" TargetMode="External"/><Relationship Id="rId12" Type="http://schemas.openxmlformats.org/officeDocument/2006/relationships/hyperlink" Target="fdsup://factset/Doc%20Viewer%20Single?float_window=true&amp;positioning_strategy=center_on_screen&amp;_doc_docfn=U2FsdGVkX1/lSM2Dg/AUMXiDX/4atYmM44034vsLzJIB9FCWpngXFQDdLhZALjnU8/eHPf3njx0sU2bFTfII1AToneeCZJc6DmURNZhMlX0=&amp;_app_id=central_doc_viewer&amp;center_on_screen=true&amp;width=950&amp;height=800&amp;_dd2=%26f%3Dsld%26c%3Dtrue%26os%3D167514%26oe%3D167520" TargetMode="External"/><Relationship Id="rId108" Type="http://schemas.openxmlformats.org/officeDocument/2006/relationships/hyperlink" Target="fdsup://factset/Doc%20Viewer%20Single?float_window=true&amp;positioning_strategy=center_on_screen&amp;_doc_docfn=U2FsdGVkX1+PRBUquiJbWmQ92QZpV+5yyoEQTA4nwWWlDCsIZVQkUfJsEBcnFePQjJoUhlLVJuX3Q2tSseypoLs9o5nJs5z6uCKulEBh2L4=&amp;_app_id=central_doc_viewer&amp;center_on_screen=true&amp;width=950&amp;height=800&amp;_dd2=%26f%3Dsld%26c%3Dtrue%26os%3D230428%26oe%3D230435" TargetMode="External"/><Relationship Id="rId315" Type="http://schemas.openxmlformats.org/officeDocument/2006/relationships/hyperlink" Target="fdsup://factset/Doc%20Viewer%20Single?float_window=true&amp;positioning_strategy=center_on_screen&amp;_doc_docfn=U2FsdGVkX19cRNkpZuCAsybuMH3G4BEnPhXF5YBjIMWOHlO1FKkpFnPe3lGEPb6qsfNkUvciLlub279SeufmlGjKTUBsRPXGs1v4S+skO5I=&amp;_app_id=central_doc_viewer&amp;center_on_screen=true&amp;width=950&amp;height=800&amp;_dd2=%26f%3Dsld%26c%3Dtrue%26os%3D246223%26oe%3D246228" TargetMode="External"/><Relationship Id="rId357" Type="http://schemas.openxmlformats.org/officeDocument/2006/relationships/hyperlink" Target="fdsup://factset/Doc%20Viewer%20Single?float_window=true&amp;positioning_strategy=center_on_screen&amp;_doc_docfn=U2FsdGVkX18AlnnyalKHZxbbpyuTWzxIj5/OSRzd5VxIHMXEbjrOhZzyrM48gB7EqsFqfwabXdyxdtXZqHiAmHL1EXKvhnULpUAzGAABdAo=&amp;_app_id=central_doc_viewer&amp;center_on_screen=true&amp;width=950&amp;height=800&amp;_dd2=%26f%3Dsld%26c%3Dtrue%26os%3D161568%26oe%3D161570" TargetMode="External"/><Relationship Id="rId54" Type="http://schemas.openxmlformats.org/officeDocument/2006/relationships/hyperlink" Target="fdsup://factset/Doc%20Viewer%20Single?float_window=true&amp;positioning_strategy=center_on_screen&amp;_doc_docfn=U2FsdGVkX18nmq5YTDvyCowtiUaYTMCVV+DJNqPGa8VCSAHGS16Gd+KXGp9iolXKtX9pZgUMK4rFK8DuInKhHU6eND7gW9T7Ps8PF8M8yTw=&amp;_app_id=central_doc_viewer&amp;center_on_screen=true&amp;width=950&amp;height=800&amp;_dd2=%26f%3Dsld%26c%3Dtrue%26os%3D239719%26oe%3D239722" TargetMode="External"/><Relationship Id="rId96" Type="http://schemas.openxmlformats.org/officeDocument/2006/relationships/hyperlink" Target="fdsup://factset/Doc%20Viewer%20Single?float_window=true&amp;positioning_strategy=center_on_screen&amp;_doc_docfn=U2FsdGVkX19BCpMB/lvtw5oBIVLdh1r7xlHuza/SJcCe9DI79ao9Xe+Mm7eSlAGRoAe7f12ofV5tJ66WmSnwWpaD0MKWg/MGu1bf8TzdXFM=&amp;_app_id=central_doc_viewer&amp;center_on_screen=true&amp;width=950&amp;height=800&amp;_dd2=%26f%3Dsld%26c%3Dtrue%26os%3D243024%26oe%3D243031" TargetMode="External"/><Relationship Id="rId161" Type="http://schemas.openxmlformats.org/officeDocument/2006/relationships/hyperlink" Target="fdsup://factset/Doc%20Viewer%20Single?float_window=true&amp;positioning_strategy=center_on_screen&amp;_doc_docfn=U2FsdGVkX1/WrHWsVNJG7APGYHdH5BhGJnoSgwiN0O7r8fzE/pbS5sFoilYBX6tp9RCLE+dxhBvBlJPtgU/Dor1+U2vqE/8lehi9OCAa3xM=&amp;_app_id=central_doc_viewer&amp;center_on_screen=true&amp;width=950&amp;height=800&amp;_dd2=%26f%3Dsld%26c%3Dtrue%26os%3D239659%26oe%3D239667" TargetMode="External"/><Relationship Id="rId217" Type="http://schemas.openxmlformats.org/officeDocument/2006/relationships/hyperlink" Target="fdsup://factset/Doc%20Viewer%20Single?float_window=true&amp;positioning_strategy=center_on_screen&amp;_doc_docfn=U2FsdGVkX1/7sJi3XRsLa6EJmfnzcjli5E9Og9eODD8B/Xfy66NSRnNWMSS1vD2mPI7uKaG2KW9g+ojrHp/CHb31H5iy+d5cRzT8PbG8sSM=&amp;_app_id=central_doc_viewer&amp;center_on_screen=true&amp;width=950&amp;height=800&amp;_dd2=%26f%3Dsld%26c%3Dtrue%26os%3D237178%26oe%3D237181" TargetMode="External"/><Relationship Id="rId259" Type="http://schemas.openxmlformats.org/officeDocument/2006/relationships/hyperlink" Target="fdsup://factset/Doc%20Viewer%20Single?float_window=true&amp;positioning_strategy=center_on_screen&amp;_doc_docfn=U2FsdGVkX1/DJuGSDX1qbIEP7KGQovcdE6py+bvABpRusECtWboegchgk+dj05C3tj6XVYbYSJSQuR9JYZJMZ4psB1WkcFJFjC5rJ0b3HbI=&amp;_app_id=central_doc_viewer&amp;center_on_screen=true&amp;width=950&amp;height=800&amp;_dd2=%26f%3Dsld%26c%3Dtrue%26os%3D242133%26oe%3D242141" TargetMode="External"/><Relationship Id="rId23" Type="http://schemas.openxmlformats.org/officeDocument/2006/relationships/hyperlink" Target="fdsup://factset/Doc%20Viewer%20Single?float_window=true&amp;positioning_strategy=center_on_screen&amp;_doc_docfn=U2FsdGVkX197xd4fevaPG3uJ3GUSTUjeEpgASa1ql4lFRhbAJ7O86wKU9UQa//Er/xVNrW1y/srr0LTwtZeC0PNjXC/D8voPWhj4LxyiDXo=&amp;_app_id=central_doc_viewer&amp;center_on_screen=true&amp;width=950&amp;height=800&amp;_dd2=%26f%3Dsld%26c%3Dtrue%26os%3D140364%26oe%3D140369" TargetMode="External"/><Relationship Id="rId119" Type="http://schemas.openxmlformats.org/officeDocument/2006/relationships/hyperlink" Target="fdsup://factset/Doc%20Viewer%20Single?float_window=true&amp;positioning_strategy=center_on_screen&amp;_doc_docfn=U2FsdGVkX1/Ai8PK6VejBsaQqA4EbcmiOlgvppXKScx7I8Rhgr5ESeObqLH2i4x1VPL8pFqVolBo7vudGV7txgxL2WVC1+hKnzpLO63ynAk=&amp;_app_id=central_doc_viewer&amp;center_on_screen=true&amp;width=950&amp;height=800&amp;_dd2=%26f%3Dsld%26c%3Dtrue%26os%3D229831%26oe%3D229834" TargetMode="External"/><Relationship Id="rId270" Type="http://schemas.openxmlformats.org/officeDocument/2006/relationships/hyperlink" Target="fdsup://factset/Doc%20Viewer%20Single?float_window=true&amp;positioning_strategy=center_on_screen&amp;_doc_docfn=U2FsdGVkX1+AKEriJcQZIDcyC2oodnaXGZLTnJrY0xaq0LGtRoNm74Cm4EggJHF8AWFYRvDETLP72rbxanVvT0bRry8u3szuVa5fuBJBq4c=&amp;_app_id=central_doc_viewer&amp;center_on_screen=true&amp;width=950&amp;height=800&amp;_dd2=%26f%3Dsld%26c%3Dtrue%26os%3D153067%26oe%3D153074" TargetMode="External"/><Relationship Id="rId326" Type="http://schemas.openxmlformats.org/officeDocument/2006/relationships/hyperlink" Target="fdsup://factset/Doc%20Viewer%20Single?float_window=true&amp;positioning_strategy=center_on_screen&amp;_doc_docfn=U2FsdGVkX18MSYOh0ftpZQruqght3HQhFPje9OKL6GSbs8SYn2429D2885ygEhBUtQ8oh2LvON9CrWP/JwjmVhI2glTcas6I5D9jQF3QRuI=&amp;_app_id=central_doc_viewer&amp;center_on_screen=true&amp;width=950&amp;height=800&amp;_dd2=%26f%3Dsld%26c%3Dtrue%26os%3D246478%26oe%3D246481" TargetMode="External"/><Relationship Id="rId65" Type="http://schemas.openxmlformats.org/officeDocument/2006/relationships/hyperlink" Target="fdsup://factset/Doc%20Viewer%20Single?float_window=true&amp;positioning_strategy=center_on_screen&amp;_doc_docfn=U2FsdGVkX1+zAF6YPGvV42N/uOtWiuOl900M73Sm9YBh+F2gAcvQJH9p0RiGcBJYitInB2+xd3y8/TLQ6eObL53CAcN0uEO+ipPJeA3DmBg=&amp;_app_id=central_doc_viewer&amp;center_on_screen=true&amp;width=950&amp;height=800&amp;_dd2=%26f%3Dsld%26c%3Dtrue%26os%3D223245%26oe%3D223248" TargetMode="External"/><Relationship Id="rId130" Type="http://schemas.openxmlformats.org/officeDocument/2006/relationships/hyperlink" Target="fdsup://factset/Doc%20Viewer%20Single?float_window=true&amp;positioning_strategy=center_on_screen&amp;_doc_docfn=U2FsdGVkX1+rmw856OmQcFAn4Bjdghe7D3TrTm35Zvw5/s/RmCBjZ8ig6Q3dUbabVppklRh01RF8AppbleRFkzK6Ggy5vA6AzUyEgFv1o/8=&amp;_app_id=central_doc_viewer&amp;center_on_screen=true&amp;width=950&amp;height=800&amp;_dd2=%26f%3Dsld%26c%3Dtrue%26os%3D228037%26oe%3D228042" TargetMode="External"/><Relationship Id="rId172" Type="http://schemas.openxmlformats.org/officeDocument/2006/relationships/hyperlink" Target="fdsup://factset/Doc%20Viewer%20Single?float_window=true&amp;positioning_strategy=center_on_screen&amp;_doc_docfn=U2FsdGVkX1/ACsYtul4d5q10MwARbOmVirDaSX3+S5cpHn8VTGTja0+I1UEW3M5G7o0L12iQJH1+7CPSbC1CCaSZJkJ8ZCMKn4QWzyEfbXo=&amp;_app_id=central_doc_viewer&amp;center_on_screen=true&amp;width=950&amp;height=800&amp;_dd2=%26f%3Dsld%26c%3Dtrue%26os%3D182610%26oe%3D182613" TargetMode="External"/><Relationship Id="rId228" Type="http://schemas.openxmlformats.org/officeDocument/2006/relationships/hyperlink" Target="fdsup://factset/Doc%20Viewer%20Single?float_window=true&amp;positioning_strategy=center_on_screen&amp;_doc_docfn=U2FsdGVkX19i9oK+opp6PjY9lU1o4smobWG8+zm2N3bG1OYn7W3vpm9hmH7kfW6VnUir9DJBXW6v3B0CIh0Vvyq1U6hbxvPC8bsAZKApzWw=&amp;_app_id=central_doc_viewer&amp;center_on_screen=true&amp;width=950&amp;height=800&amp;_dd2=%26f%3Dsld%26c%3Dtrue%26os%3D159379%26oe%3D159384" TargetMode="External"/><Relationship Id="rId281" Type="http://schemas.openxmlformats.org/officeDocument/2006/relationships/hyperlink" Target="fdsup://factset/Doc%20Viewer%20Single?float_window=true&amp;positioning_strategy=center_on_screen&amp;_doc_docfn=U2FsdGVkX191S/4/PZM0I5YDVAvZbErxPErX0Lg0vz5Hr72uwewzKVXKmhrA8WZTI7ndXh3rCDQCLXLHBonHLn1CEFKKmUyK9ZGPg9NBQH8=&amp;_app_id=central_doc_viewer&amp;center_on_screen=true&amp;width=950&amp;height=800&amp;_dd2=%26f%3Dsld%26c%3Dtrue%26os%3D153897%26oe%3D153902" TargetMode="External"/><Relationship Id="rId337" Type="http://schemas.openxmlformats.org/officeDocument/2006/relationships/hyperlink" Target="fdsup://factset/Doc%20Viewer%20Single?float_window=true&amp;positioning_strategy=center_on_screen&amp;_doc_docfn=U2FsdGVkX1+e/gpEaJNYZ3wbH8dtSB6XbHPi8u4GmBCDW+nmrxMFQNpObwB7HQeUp/I9yX41LSx1WfWeVNqW/ASgcN5aAY4gMRxbq3jnV3g=&amp;_app_id=central_doc_viewer&amp;center_on_screen=true&amp;width=950&amp;height=800&amp;_dd2=%26f%3Dsld%26c%3Dtrue%26os%3D1120082%26oe%3D1120088" TargetMode="External"/><Relationship Id="rId34" Type="http://schemas.openxmlformats.org/officeDocument/2006/relationships/hyperlink" Target="fdsup://factset/Doc%20Viewer%20Single?float_window=true&amp;positioning_strategy=center_on_screen&amp;_doc_docfn=U2FsdGVkX1+KYX2l0xIb3H5j1qUzzk50XK1npBNHfSGudoALR/6BHBM2ZkQ8poXyxZdQh0g3AYdLksAig8JiJ36EwpcygOSR+M66aU8rGW0=&amp;_app_id=central_doc_viewer&amp;center_on_screen=true&amp;width=950&amp;height=800&amp;_dd2=%26f%3Dsld%26c%3Dtrue%26os%3D131170%26oe%3D131173" TargetMode="External"/><Relationship Id="rId76" Type="http://schemas.openxmlformats.org/officeDocument/2006/relationships/hyperlink" Target="fdsup://factset/Doc%20Viewer%20Single?float_window=true&amp;positioning_strategy=center_on_screen&amp;_doc_docfn=U2FsdGVkX18+kkgDXkwtqpRPxFy9qTepVV0DOqRU9WWWl0mZE8t3gmsyzUkO55dOLzZton2LmypTqpVGktvzbbsnnugdr8XZcVQv1mbMyx8=&amp;_app_id=central_doc_viewer&amp;center_on_screen=true&amp;width=950&amp;height=800&amp;_dd2=%26f%3Dsld%26c%3Dtrue%26os%3D374793%26oe%3D374796" TargetMode="External"/><Relationship Id="rId141" Type="http://schemas.openxmlformats.org/officeDocument/2006/relationships/hyperlink" Target="fdsup://factset/Doc%20Viewer%20Single?float_window=true&amp;positioning_strategy=center_on_screen&amp;_doc_docfn=U2FsdGVkX1+2F2ToXcQGEV0VmdU8OhgFHZYct1gApDZKjqV8hwyB6LC3SRcUWEbYt7a8XFAk40zisSb80UT1Bie01KLERqSYKei1ISdDlAA=&amp;_app_id=central_doc_viewer&amp;center_on_screen=true&amp;width=950&amp;height=800&amp;_dd2=%26f%3Dsld%26c%3Dtrue%26os%3D231352%26oe%3D231357" TargetMode="External"/><Relationship Id="rId7" Type="http://schemas.openxmlformats.org/officeDocument/2006/relationships/hyperlink" Target="fdsup://factset/Doc%20Viewer%20Single?float_window=true&amp;positioning_strategy=center_on_screen&amp;_doc_docfn=U2FsdGVkX1+YvfnXJ/qsQvDQxg+1cQPECzvL502MWOXZxni2oSA7gBe5IH/pzH4uwmUM8ylhKXUHXaJDP6FyGcKdJCzCB2b91azF8KQnPRM=&amp;_app_id=central_doc_viewer&amp;center_on_screen=true&amp;width=950&amp;height=800&amp;_dd2=%26f%3Dsld%26c%3Dtrue%26os%3D234229%26oe%3D234235" TargetMode="External"/><Relationship Id="rId183" Type="http://schemas.openxmlformats.org/officeDocument/2006/relationships/hyperlink" Target="fdsup://factset/Doc%20Viewer%20Single?float_window=true&amp;positioning_strategy=center_on_screen&amp;_doc_docfn=U2FsdGVkX1+TREqlENm8U9T8GRCHTaUnZkZMXHRsClAA6RiynbufEZo4AiQYNtL8DMsB/Mo6tIXDoSBab8V+XbHh0sWKtRkLssCdrdHQTTA=&amp;_app_id=central_doc_viewer&amp;center_on_screen=true&amp;width=950&amp;height=800&amp;_dd2=%26f%3Dsld%26c%3Dtrue%26os%3D154154%26oe%3D154162" TargetMode="External"/><Relationship Id="rId239" Type="http://schemas.openxmlformats.org/officeDocument/2006/relationships/hyperlink" Target="fdsup://factset/Doc%20Viewer%20Single?float_window=true&amp;positioning_strategy=center_on_screen&amp;_doc_docfn=U2FsdGVkX1+6buCLOiQABGliyzAKQGn+oPyn3p1+fQrWV/2CFDwVauwG+Mz31/kN0k8f5P5KgtF0LJR1SFheWuXb9llOpQewB2dTPLeVaos=&amp;_app_id=central_doc_viewer&amp;center_on_screen=true&amp;width=950&amp;height=800&amp;_dd2=%26f%3Dsld%26c%3Dtrue%26os%3D189397%26oe%3D189402" TargetMode="External"/><Relationship Id="rId250" Type="http://schemas.openxmlformats.org/officeDocument/2006/relationships/hyperlink" Target="fdsup://factset/Doc%20Viewer%20Single?float_window=true&amp;positioning_strategy=center_on_screen&amp;_doc_docfn=U2FsdGVkX1+U+i+J4xlBl98QIVYGnYlQCT/2kxAjCTu+CipdHihgubuCj5oSso7L3SPE0e/hU8OFZjyRf5xFKGkNUI22ALo2ULtsclyzCRQ=&amp;_app_id=central_doc_viewer&amp;center_on_screen=true&amp;width=950&amp;height=800&amp;_dd2=%26f%3Dsld%26c%3Dtrue%26os%3D244675%26oe%3D244683" TargetMode="External"/><Relationship Id="rId292" Type="http://schemas.openxmlformats.org/officeDocument/2006/relationships/hyperlink" Target="fdsup://factset/Doc%20Viewer%20Single?float_window=true&amp;positioning_strategy=center_on_screen&amp;_doc_docfn=U2FsdGVkX1/jD5qh9cGvfzrtQEZIC69Wex6V/+SAxaqh9m1tVZNGQDktY5fsJ6HHNMS/V5TPrGYgE/n80MOGb0AH6DXCqnDg52+RJSF7r1M=&amp;_app_id=central_doc_viewer&amp;center_on_screen=true&amp;width=950&amp;height=800&amp;_dd2=%26f%3Dsld%26c%3Dtrue%26os%3D258520%26oe%3D258525" TargetMode="External"/><Relationship Id="rId306" Type="http://schemas.openxmlformats.org/officeDocument/2006/relationships/hyperlink" Target="fdsup://factset/Doc%20Viewer%20Single?float_window=true&amp;positioning_strategy=center_on_screen&amp;_doc_docfn=U2FsdGVkX18XORWr46GuNn3rYB3421h/TRR6Mz3zyeIFzQS3ToCue//uqFc9cEd2qm7I6J5+YHS6RVuuEixvTsp0HhE+ZgsQRVZgSwERdmA=&amp;_app_id=central_doc_viewer&amp;center_on_screen=true&amp;width=950&amp;height=800&amp;_dd2=%26f%3Dsld%26c%3Dtrue%26os%3D451145%26oe%3D451150" TargetMode="External"/><Relationship Id="rId45" Type="http://schemas.openxmlformats.org/officeDocument/2006/relationships/hyperlink" Target="fdsup://factset/Doc%20Viewer%20Single?float_window=true&amp;positioning_strategy=center_on_screen&amp;_doc_docfn=U2FsdGVkX19tgg2+yjrDxUHrQGfh1trRaEgE/bGuJiVZ8ADZF1cEdqSt8mBcurEVnbQVFGfc38WZmAa+52aOgjnWGwDJ3JCpub+17kSnvQQ=&amp;_app_id=central_doc_viewer&amp;center_on_screen=true&amp;width=950&amp;height=800&amp;_dd2=%26f%3Dsld%26c%3Dtrue%26os%3D225658%26oe%3D225664" TargetMode="External"/><Relationship Id="rId87" Type="http://schemas.openxmlformats.org/officeDocument/2006/relationships/hyperlink" Target="fdsup://factset/Doc%20Viewer%20Single?float_window=true&amp;positioning_strategy=center_on_screen&amp;_doc_docfn=U2FsdGVkX18k3YsoPSVVO0bJfkK9E8cvuPDiY/GmYD5+QXXNZwB2rOrB/m1r7KnJkSQ8Dw5Xb8dP0kSyT2wPnhTdgMOEaAcNnQ4cZ1YvjEM=&amp;_app_id=central_doc_viewer&amp;center_on_screen=true&amp;width=950&amp;height=800&amp;_dd2=%26f%3Dsld%26c%3Dtrue%26os%3D369830%26oe%3D369837" TargetMode="External"/><Relationship Id="rId110" Type="http://schemas.openxmlformats.org/officeDocument/2006/relationships/hyperlink" Target="fdsup://factset/Doc%20Viewer%20Single?float_window=true&amp;positioning_strategy=center_on_screen&amp;_doc_docfn=U2FsdGVkX19qLDCXc4J/4f7EefTrP9dWWWW9fGad9UHddG8K8MwL+xXJXrhG72AZr4IRq+z+uk9VGEdVk0MVz+uhSPFbjtjagza3Scr6klY=&amp;_app_id=central_doc_viewer&amp;center_on_screen=true&amp;width=950&amp;height=800&amp;_dd2=%26f%3Dsld%26c%3Dtrue%26os%3D226531%26oe%3D226538" TargetMode="External"/><Relationship Id="rId348" Type="http://schemas.openxmlformats.org/officeDocument/2006/relationships/hyperlink" Target="fdsup://factset/Doc%20Viewer%20Single?float_window=true&amp;positioning_strategy=center_on_screen&amp;_doc_docfn=U2FsdGVkX18ZcPACLNzTWmlf6Xv/KweTYdr0u2KTO42febKISG0q6xDvQ9jO2VfY6+QDiI3/78XdWIctdQmH8suJBgK+nuAuEJMvDIjB6kM=&amp;_app_id=central_doc_viewer&amp;center_on_screen=true&amp;width=950&amp;height=800&amp;_dd2=%26f%3Dsld%26c%3Dtrue%26os%3D248101%26oe%3D248107" TargetMode="External"/><Relationship Id="rId152" Type="http://schemas.openxmlformats.org/officeDocument/2006/relationships/hyperlink" Target="fdsup://factset/Doc%20Viewer%20Single?float_window=true&amp;positioning_strategy=center_on_screen&amp;_doc_docfn=U2FsdGVkX1/3tD4Vl7aKtpJUghaz9joGOmQGeiIVI3mvIcZH+fWaybalVx+XPBOA59PbMTF8lbPqtU2YzTHMFFRFMLPkOYH1/P+lB3/npKk=&amp;_app_id=central_doc_viewer&amp;center_on_screen=true&amp;width=950&amp;height=800&amp;_dd2=%26f%3Dsld%26c%3Dtrue%26os%3D427052%26oe%3D427060" TargetMode="External"/><Relationship Id="rId194" Type="http://schemas.openxmlformats.org/officeDocument/2006/relationships/hyperlink" Target="fdsup://factset/Doc%20Viewer%20Single?float_window=true&amp;positioning_strategy=center_on_screen&amp;_doc_docfn=U2FsdGVkX1+f7KQ5V6TFMVcOfBOHyMotMWdQdV5BUHAaVFVhng45FtpcVvHA4m0b3gSFN81Oh6x7IZf32UecjsCXZvLvxVZ2ZsB00g7syB4=&amp;_app_id=central_doc_viewer&amp;center_on_screen=true&amp;width=950&amp;height=800&amp;_dd2=%26f%3Dsld%26c%3Dtrue%26os%3D144927%26oe%3D144933" TargetMode="External"/><Relationship Id="rId208" Type="http://schemas.openxmlformats.org/officeDocument/2006/relationships/hyperlink" Target="fdsup://factset/Doc%20Viewer%20Single?float_window=true&amp;positioning_strategy=center_on_screen&amp;_doc_docfn=U2FsdGVkX1/jMTb6C2VziMYe8NSrGUnzhzLRHhat7fCGVmMZLlIYA9U78qvJSqD6QOeRyZ95Eadj45GlRB2mkpRmfjl6jBTDAbLTL6Y8WHs=&amp;_app_id=central_doc_viewer&amp;center_on_screen=true&amp;width=950&amp;height=800&amp;_dd2=%26f%3Dsld%26c%3Dtrue%26os%3D236391%26oe%3D236398" TargetMode="External"/><Relationship Id="rId261" Type="http://schemas.openxmlformats.org/officeDocument/2006/relationships/hyperlink" Target="fdsup://factset/Doc%20Viewer%20Single?float_window=true&amp;positioning_strategy=center_on_screen&amp;_doc_docfn=U2FsdGVkX1+oqWoUZvvNpAc6tK5OB9Io0SYFWB5sAc9d00QOetg5k1acx9dIYBxbx+QAql0AC1meZhoPirj8xhBuJhrp2rlxNMNND97rhA0=&amp;_app_id=central_doc_viewer&amp;center_on_screen=true&amp;width=950&amp;height=800&amp;_dd2=%26f%3Dsld%26c%3Dtrue%26os%3D238239%26oe%3D238246" TargetMode="External"/><Relationship Id="rId14" Type="http://schemas.openxmlformats.org/officeDocument/2006/relationships/hyperlink" Target="fdsup://factset/Doc%20Viewer%20Single?float_window=true&amp;positioning_strategy=center_on_screen&amp;_doc_docfn=U2FsdGVkX1/cacKj9iwyFUTpGkU1xWvsRxbco4jqdwFvWWGx89q3Hznv+XRJWQAukAphUMnkDSnobN5DVmG+QYMmDdZ0SPCB91UGY7f4Qyk=&amp;_app_id=central_doc_viewer&amp;center_on_screen=true&amp;width=950&amp;height=800&amp;_dd2=%26f%3Dsld%26c%3Dtrue%26os%3D129100%26oe%3D129106" TargetMode="External"/><Relationship Id="rId56" Type="http://schemas.openxmlformats.org/officeDocument/2006/relationships/hyperlink" Target="fdsup://factset/Doc%20Viewer%20Single?float_window=true&amp;positioning_strategy=center_on_screen&amp;_doc_docfn=U2FsdGVkX19Ivf9V7ZBZnPVLu44oZ7vzBx2y4wf6KeEwUr5KEcu9Lvk6D8Uogh6z+bPScuWEBq9uWrunz5eURVxb8gE1bJ7Q9BRxniT8xB4=&amp;_app_id=central_doc_viewer&amp;center_on_screen=true&amp;width=950&amp;height=800&amp;_dd2=%26f%3Dsld%26c%3Dtrue%26os%3D226382%26oe%3D226387" TargetMode="External"/><Relationship Id="rId317" Type="http://schemas.openxmlformats.org/officeDocument/2006/relationships/hyperlink" Target="fdsup://factset/Doc%20Viewer%20Single?float_window=true&amp;positioning_strategy=center_on_screen&amp;_doc_docfn=U2FsdGVkX1+e9+Cij0zPyoBvNfGoe+l5SOUbl9SLHV/d4m2Eg8oq/ncMbFMtRnewGvU1YEJyoClb/ldRWmNnxyqkobZrC6MFzjrbNfs4Nvs=&amp;_app_id=central_doc_viewer&amp;center_on_screen=true&amp;width=950&amp;height=800&amp;_dd2=%26f%3Dsld%26c%3Dtrue%26os%3D197254%26oe%3D197261" TargetMode="External"/><Relationship Id="rId98" Type="http://schemas.openxmlformats.org/officeDocument/2006/relationships/hyperlink" Target="fdsup://factset/Doc%20Viewer%20Single?float_window=true&amp;positioning_strategy=center_on_screen&amp;_doc_docfn=U2FsdGVkX1/cahryqo4vp+iVCSEKTjPO/z6jrEkrCmQ0oP2NJcdVau2LFpUIWYbInOiof6bS6udMSrXDhXR2KKyONT2Yng3dSUuJCl+SqZA=&amp;_app_id=central_doc_viewer&amp;center_on_screen=true&amp;width=950&amp;height=800&amp;_dd2=%26f%3Dsld%26c%3Dtrue%26os%3D229696%26oe%3D229701" TargetMode="External"/><Relationship Id="rId121" Type="http://schemas.openxmlformats.org/officeDocument/2006/relationships/hyperlink" Target="fdsup://factset/Doc%20Viewer%20Single?float_window=true&amp;positioning_strategy=center_on_screen&amp;_doc_docfn=U2FsdGVkX1/aaNgvZ1OiK5q3ZL17LsMhE+X8V8mGpJoHCtrGp6GSgGbEQJse89MJxqMVDjaLsv4kMOfANUesg2t9g/nETd5/b5YJQcIemTg=&amp;_app_id=central_doc_viewer&amp;center_on_screen=true&amp;width=950&amp;height=800&amp;_dd2=%26f%3Dsld%26c%3Dtrue%26os%3D229841%26oe%3D229844" TargetMode="External"/><Relationship Id="rId163" Type="http://schemas.openxmlformats.org/officeDocument/2006/relationships/hyperlink" Target="fdsup://factset/Doc%20Viewer%20Single?float_window=true&amp;positioning_strategy=center_on_screen&amp;_doc_docfn=U2FsdGVkX18+48d2D93+FYN0G8ZM7fpvFUiLaVnWVKRd7mRr6wQwD3Izc+CcyDchrGyKWNA/qxrV2AX3UYh4WmK3EVolyXMYCZeCR1uBUGw=&amp;_app_id=central_doc_viewer&amp;center_on_screen=true&amp;width=950&amp;height=800&amp;_dd2=%26f%3Dsld%26c%3Dtrue%26os%3D181748%26oe%3D181756" TargetMode="External"/><Relationship Id="rId219" Type="http://schemas.openxmlformats.org/officeDocument/2006/relationships/hyperlink" Target="fdsup://factset/Doc%20Viewer%20Single?float_window=true&amp;positioning_strategy=center_on_screen&amp;_doc_docfn=U2FsdGVkX18DOW/N9bjeKDLAD7R16SDOFw9raOcRG1LSW4dS46wrILblPaXol1Zm6ERPIpbA8Gve00K78r404zSjekVMaJA+g+Oa2t/LbGA=&amp;_app_id=central_doc_viewer&amp;center_on_screen=true&amp;width=950&amp;height=800&amp;_dd2=%26f%3Dsld%26c%3Dtrue%26os%3D237188%26oe%3D237191" TargetMode="External"/><Relationship Id="rId230" Type="http://schemas.openxmlformats.org/officeDocument/2006/relationships/hyperlink" Target="fdsup://factset/Doc%20Viewer%20Single?float_window=true&amp;positioning_strategy=center_on_screen&amp;_doc_docfn=U2FsdGVkX1+7yeOWJEbYVTv+GU3q8ov5mmcWqbyqnLs+OWSI6iYakFRmq/t5CBhfqPZoZ9r7x8yvbKBk15kkGGIUTjMupppzod14dcIZXc8=&amp;_app_id=central_doc_viewer&amp;center_on_screen=true&amp;width=950&amp;height=800&amp;_dd2=%26f%3Dsld%26c%3Dtrue%26os%3D252693%26oe%3D252700" TargetMode="External"/><Relationship Id="rId25" Type="http://schemas.openxmlformats.org/officeDocument/2006/relationships/hyperlink" Target="fdsup://factset/Doc%20Viewer%20Single?float_window=true&amp;positioning_strategy=center_on_screen&amp;_doc_docfn=U2FsdGVkX1+IHnnqybArqqVW5UfDJHxA2KUpPy2z8ZwRGSndzFNly6Cvi6TsXlyJ24b5re76jizvCh+y3wXpeNcRMgFOON/g12iPTLjv45E=&amp;_app_id=central_doc_viewer&amp;center_on_screen=true&amp;width=950&amp;height=800&amp;_dd2=%26f%3Dsld%26c%3Dtrue%26os%3D237421%26oe%3D237427" TargetMode="External"/><Relationship Id="rId46" Type="http://schemas.openxmlformats.org/officeDocument/2006/relationships/hyperlink" Target="fdsup://factset/Doc%20Viewer%20Single?float_window=true&amp;positioning_strategy=center_on_screen&amp;_doc_docfn=U2FsdGVkX19fwe31L5Gtqgbsf65ksKzkTDu86SNufBeNfI2fh2p3wNI3kA64DpHSrgNHzOWVizXUEZixQY+XF49StRd2T4Z+k2btJUvhSto=&amp;_app_id=central_doc_viewer&amp;center_on_screen=true&amp;width=950&amp;height=800&amp;_dd2=%26f%3Dsld%26c%3Dtrue%26os%3D224298%26oe%3D224304" TargetMode="External"/><Relationship Id="rId67" Type="http://schemas.openxmlformats.org/officeDocument/2006/relationships/hyperlink" Target="fdsup://factset/Doc%20Viewer%20Single?float_window=true&amp;positioning_strategy=center_on_screen&amp;_doc_docfn=U2FsdGVkX19bYCnW5+ZKGV07Z077PSDBxGB3nAYup68SuUFMymmTx1oax1ZvBPRpxe9brclSQDoj2HwEMw24Q3bYkDTEFOocOYt3aMWv/6U=&amp;_app_id=central_doc_viewer&amp;center_on_screen=true&amp;width=950&amp;height=800&amp;_dd2=%26f%3Dsld%26c%3Dtrue%26os%3D372264%26oe%3D372265" TargetMode="External"/><Relationship Id="rId272" Type="http://schemas.openxmlformats.org/officeDocument/2006/relationships/hyperlink" Target="fdsup://factset/Doc%20Viewer%20Single?float_window=true&amp;positioning_strategy=center_on_screen&amp;_doc_docfn=U2FsdGVkX18Dosb+0QNRNA8ZHBouYK1/egDuhkjdv2OoOkMEXun0Qcm7sRLONOGidFjSrTSXCQmDIn0PWM5Bh/wM2xl8b/MwQGxwlUQpgjs=&amp;_app_id=central_doc_viewer&amp;center_on_screen=true&amp;width=950&amp;height=800&amp;_dd2=%26f%3Dsld%26c%3Dtrue%26os%3D383804%26oe%3D383812" TargetMode="External"/><Relationship Id="rId293" Type="http://schemas.openxmlformats.org/officeDocument/2006/relationships/hyperlink" Target="fdsup://factset/Doc%20Viewer%20Single?float_window=true&amp;positioning_strategy=center_on_screen&amp;_doc_docfn=U2FsdGVkX19ItpuqoNgEtZ4fFBChg0/QC3E/mI6JyloNrH/eohlEmUAbT+67Bb06boDhZbV+tDwb7WWMGS8ygHWwhrgzynyz+VFtNcjqLco=&amp;_app_id=central_doc_viewer&amp;center_on_screen=true&amp;width=950&amp;height=800&amp;_dd2=%26f%3Dsld%26c%3Dtrue%26os%3D385330%26oe%3D385337" TargetMode="External"/><Relationship Id="rId307" Type="http://schemas.openxmlformats.org/officeDocument/2006/relationships/hyperlink" Target="fdsup://factset/Doc%20Viewer%20Single?float_window=true&amp;positioning_strategy=center_on_screen&amp;_doc_docfn=U2FsdGVkX18RoynFiCMX2h3wWvBs9LIsgEDcjQhnfmmNYaGy9sEcIw0rGlxcdtRvZbnUnFnitoHp2URW0Q8gOaImCiXZi2mOwoUDTqncz3w=&amp;_app_id=central_doc_viewer&amp;center_on_screen=true&amp;width=950&amp;height=800&amp;_dd2=%26f%3Dsld%26c%3Dtrue%26os%3D196404%26oe%3D196409" TargetMode="External"/><Relationship Id="rId328" Type="http://schemas.openxmlformats.org/officeDocument/2006/relationships/hyperlink" Target="fdsup://factset/Doc%20Viewer%20Single?float_window=true&amp;positioning_strategy=center_on_screen&amp;_doc_docfn=U2FsdGVkX18zFUhX2x/Lvaj8gD4G4jBpxOdTVDqhKN4fFsh4ULWmxQcAKZjv2swklYq1PTDIPBkXVq40N7len2LubEwlsjMo1zJ0beFtMH4=&amp;_app_id=central_doc_viewer&amp;center_on_screen=true&amp;width=950&amp;height=800&amp;_dd2=%26f%3Dsld%26c%3Dtrue%26os%3D247171%26oe%3D247176" TargetMode="External"/><Relationship Id="rId349" Type="http://schemas.openxmlformats.org/officeDocument/2006/relationships/hyperlink" Target="fdsup://factset/Doc%20Viewer%20Single?float_window=true&amp;positioning_strategy=center_on_screen&amp;_doc_docfn=U2FsdGVkX1/WyUj+JVs/2wT1iy/JftEXm8yrJ/caUloRQvfdTLTyQxD1MHF1c9ASBW3VnkSwNOvQ9I5r2Z3WW1m9E1iVfbKJnkuPJfOeYpY=&amp;_app_id=central_doc_viewer&amp;center_on_screen=true&amp;width=950&amp;height=800&amp;_dd2=%26f%3Dsld%26c%3Dtrue%26os%3D199963%26oe%3D199968" TargetMode="External"/><Relationship Id="rId88" Type="http://schemas.openxmlformats.org/officeDocument/2006/relationships/hyperlink" Target="fdsup://factset/Doc%20Viewer%20Single?float_window=true&amp;positioning_strategy=center_on_screen&amp;_doc_docfn=U2FsdGVkX1/gqxUH7XA/l1beqsXizeQsKYc+YaIVpTz4wuDums40NxEeYR0fu0NYru1ao/FEPLn0exOWblfpcMHPfrc6OL9/Ih9s36Ds/M0=&amp;_app_id=central_doc_viewer&amp;center_on_screen=true&amp;width=950&amp;height=800&amp;_dd2=%26f%3Dsld%26c%3Dtrue%26os%3D228951%26oe%3D228958" TargetMode="External"/><Relationship Id="rId111" Type="http://schemas.openxmlformats.org/officeDocument/2006/relationships/hyperlink" Target="fdsup://factset/Doc%20Viewer%20Single?float_window=true&amp;positioning_strategy=center_on_screen&amp;_doc_docfn=U2FsdGVkX1+nTwBYy0z9bEFibeuyhuVyYvAbwxW8xZwSPtuClJxf/m+EzhUdi53Y8XJBO2Z87CdO5/H8GdQsmU6x2zXB/tU+PGEMLyuw3S8=&amp;_app_id=central_doc_viewer&amp;center_on_screen=true&amp;width=950&amp;height=800&amp;_dd2=%26f%3Dsld%26c%3Dtrue%26os%3D229089%26oe%3D229096" TargetMode="External"/><Relationship Id="rId132" Type="http://schemas.openxmlformats.org/officeDocument/2006/relationships/hyperlink" Target="fdsup://factset/Doc%20Viewer%20Single?float_window=true&amp;positioning_strategy=center_on_screen&amp;_doc_docfn=U2FsdGVkX18LzdnVMWmvzuXR7sHv/1evdOUKtqNbHbXNW2t3VJSO1e1n1y3Fo5I5UGjC/Im9doaj8P6vBAs09xJgC6/vDKYerCUFSa/gjVY=&amp;_app_id=central_doc_viewer&amp;center_on_screen=true&amp;width=950&amp;height=800&amp;_dd2=%26f%3Dsld%26c%3Dtrue%26os%3D394957%26oe%3D394960" TargetMode="External"/><Relationship Id="rId153" Type="http://schemas.openxmlformats.org/officeDocument/2006/relationships/hyperlink" Target="fdsup://factset/Doc%20Viewer%20Single?float_window=true&amp;positioning_strategy=center_on_screen&amp;_doc_docfn=U2FsdGVkX1+pWyBDNDLLC0V+KhwzkRTGmUbw1FFdeVCl6Vw3v0LFmlrVDCsSeomgcjiNdpIw738qrriBzhpmCQXe7zD6lYFRack5e4Otjtk=&amp;_app_id=central_doc_viewer&amp;center_on_screen=true&amp;width=950&amp;height=800&amp;_dd2=%26f%3Dsld%26c%3Dtrue%26os%3D190285%26oe%3D190293" TargetMode="External"/><Relationship Id="rId174" Type="http://schemas.openxmlformats.org/officeDocument/2006/relationships/hyperlink" Target="fdsup://factset/Doc%20Viewer%20Single?float_window=true&amp;positioning_strategy=center_on_screen&amp;_doc_docfn=U2FsdGVkX1+AGPndKg2naXeGaETeTsiz8JRWlcH26YTJQkwaLRsRHbrfUTXBOlVntflLIY3z/I7v2xxu6WnjJG/aih/Fq1MdBnKzcrAORqY=&amp;_app_id=central_doc_viewer&amp;center_on_screen=true&amp;width=950&amp;height=800&amp;_dd2=%26f%3Dsld%26c%3Dtrue%26os%3D143244%26oe%3D143246" TargetMode="External"/><Relationship Id="rId195" Type="http://schemas.openxmlformats.org/officeDocument/2006/relationships/hyperlink" Target="fdsup://factset/Doc%20Viewer%20Single?float_window=true&amp;positioning_strategy=center_on_screen&amp;_doc_docfn=U2FsdGVkX18ZZJf/AnhSJ24PVXpvrh5MSPUFDEI0hYX3Z3M5wEmat89TmMHBN49LVtnIqT+m3rGdzYGb6slb5mYu++LYVhG6V3odLAd/lvU=&amp;_app_id=central_doc_viewer&amp;center_on_screen=true&amp;width=950&amp;height=800&amp;_dd2=%26f%3Dsld%26c%3Dtrue%26os%3D250261%26oe%3D250267" TargetMode="External"/><Relationship Id="rId209" Type="http://schemas.openxmlformats.org/officeDocument/2006/relationships/hyperlink" Target="fdsup://factset/Doc%20Viewer%20Single?float_window=true&amp;positioning_strategy=center_on_screen&amp;_doc_docfn=U2FsdGVkX1+f13nBIi6hJ5xs+GsqtMbD1w2/mUf76fLsOM18npApmJnLvaIt30AYZJrUsr1MN9PSngRfH0suY4b+AzM2gPNBy6EFT8zcv+E=&amp;_app_id=central_doc_viewer&amp;center_on_screen=true&amp;width=950&amp;height=800&amp;_dd2=%26f%3Dsld%26c%3Dtrue%26os%3D233838%26oe%3D233845" TargetMode="External"/><Relationship Id="rId220" Type="http://schemas.openxmlformats.org/officeDocument/2006/relationships/hyperlink" Target="fdsup://factset/Doc%20Viewer%20Single?float_window=true&amp;positioning_strategy=center_on_screen&amp;_doc_docfn=U2FsdGVkX18eAWrVJ0KMzxmLX4QTBGumymHTnYeX8rp/Y2Z2AdGRPMS4WvcrUhRbXQHo25vSIWwcFeWPc8bCMxO5W0FPxJA4UrIqgJpVGnQ=&amp;_app_id=central_doc_viewer&amp;center_on_screen=true&amp;width=950&amp;height=800&amp;_dd2=%26f%3Dsld%26c%3Dtrue%26os%3D415950%26oe%3D415955" TargetMode="External"/><Relationship Id="rId241" Type="http://schemas.openxmlformats.org/officeDocument/2006/relationships/hyperlink" Target="fdsup://factset/Doc%20Viewer%20Single?float_window=true&amp;positioning_strategy=center_on_screen&amp;_doc_docfn=U2FsdGVkX1+ccZOIAi0SpFUOtpfrx0SxOHULab/+KNSXN4Z61ttHag52ApOYOjFJD+RNtp+LIyK06lKujQr2E5GgD/Kqkj0/xQU3O3juLf8=&amp;_app_id=central_doc_viewer&amp;center_on_screen=true&amp;width=950&amp;height=800&amp;_dd2=%26f%3Dsld%26c%3Dtrue%26os%3D150156%26oe%3D150157" TargetMode="External"/><Relationship Id="rId15" Type="http://schemas.openxmlformats.org/officeDocument/2006/relationships/hyperlink" Target="fdsup://factset/Doc%20Viewer%20Single?float_window=true&amp;positioning_strategy=center_on_screen&amp;_doc_docfn=U2FsdGVkX1+vHaZqYGsIEziDsMgF0YvMAHKKebRIjoDkmxSjM47w6Ropfgs7hu6LzHeo5cYhRX6Z6AE/NIq0K/urTIciSF8S+5GyXsj93Vg=&amp;_app_id=central_doc_viewer&amp;center_on_screen=true&amp;width=950&amp;height=800&amp;_dd2=%26f%3Dsld%26c%3Dtrue%26os%3D236332%26oe%3D236338" TargetMode="External"/><Relationship Id="rId36" Type="http://schemas.openxmlformats.org/officeDocument/2006/relationships/hyperlink" Target="fdsup://factset/Doc%20Viewer%20Single?float_window=true&amp;positioning_strategy=center_on_screen&amp;_doc_docfn=U2FsdGVkX1+a7Nk8Vutxuaf6/CEfCyB2zKDxqesfFM7+xswjA3uCSDWpsFQl8xz9kOtUQv4hhUl6wtho/HEQbPMaONxw068FVFfOjyMBoXs=&amp;_app_id=central_doc_viewer&amp;center_on_screen=true&amp;width=950&amp;height=800&amp;_dd2=%26f%3Dsld%26c%3Dtrue%26os%3D365795%26oe%3D365798" TargetMode="External"/><Relationship Id="rId57" Type="http://schemas.openxmlformats.org/officeDocument/2006/relationships/hyperlink" Target="fdsup://factset/Doc%20Viewer%20Single?float_window=true&amp;positioning_strategy=center_on_screen&amp;_doc_docfn=U2FsdGVkX1/DrSIRglcodNaAHxvbL1pGw1iZPdT8dEsRqX/igd8QK4rwCaG2Gu2P3z9RTR1WDJx1+4oJYfTp9XnEAjTMoV30vP270sGuPQs=&amp;_app_id=central_doc_viewer&amp;center_on_screen=true&amp;width=950&amp;height=800&amp;_dd2=%26f%3Dsld%26c%3Dtrue%26os%3D225022%26oe%3D225029" TargetMode="External"/><Relationship Id="rId262" Type="http://schemas.openxmlformats.org/officeDocument/2006/relationships/hyperlink" Target="fdsup://factset/Doc%20Viewer%20Single?float_window=true&amp;positioning_strategy=center_on_screen&amp;_doc_docfn=U2FsdGVkX18uhXsHUJqrWp89sPz9hPpHQ9l+OYlLL7k+cl4pNqRwPq6XPOT01eEAVWnN4M6mRdpuRDXm6EynV5otIfM7s3oexDEa/VsTiOo=&amp;_app_id=central_doc_viewer&amp;center_on_screen=true&amp;width=950&amp;height=800&amp;_dd2=%26f%3Dsld%26c%3Dtrue%26os%3D240808%26oe%3D240816" TargetMode="External"/><Relationship Id="rId283" Type="http://schemas.openxmlformats.org/officeDocument/2006/relationships/hyperlink" Target="fdsup://factset/Doc%20Viewer%20Single?float_window=true&amp;positioning_strategy=center_on_screen&amp;_doc_docfn=U2FsdGVkX1+iHrwMGj1qs1BxmKVamAn0afWtPq7QddxcUFM4AWP0WmMtltoQZlgh/g40rFmzu6KNU3+pQjl7nGJh2n457EsMfNW7mPQofnA=&amp;_app_id=central_doc_viewer&amp;center_on_screen=true&amp;width=950&amp;height=800&amp;_dd2=%26f%3Dsld%26c%3Dtrue%26os%3D384582%26oe%3D384588" TargetMode="External"/><Relationship Id="rId318" Type="http://schemas.openxmlformats.org/officeDocument/2006/relationships/hyperlink" Target="fdsup://factset/Doc%20Viewer%20Single?float_window=true&amp;positioning_strategy=center_on_screen&amp;_doc_docfn=U2FsdGVkX1/4KLxljPZorZYe2wNKfs01/VjYUstv7I+en9CdaBip8k5XvWDsZge4OS6E7BlI4Sv/5MV1DRdpjZ1tlQkTxwweBKg/jp1qB2g=&amp;_app_id=central_doc_viewer&amp;center_on_screen=true&amp;width=950&amp;height=800&amp;_dd2=%26f%3Dsld%26c%3Dtrue%26os%3D168917%26oe%3D168924" TargetMode="External"/><Relationship Id="rId339" Type="http://schemas.openxmlformats.org/officeDocument/2006/relationships/hyperlink" Target="fdsup://factset/Doc%20Viewer%20Single?float_window=true&amp;positioning_strategy=center_on_screen&amp;_doc_docfn=U2FsdGVkX19liVxtXpbDuONwcpmhCdhyWW620BIsyZbsmAulAeMPOWvT8OAYs155O1QcIXWmNOnN7j4NKO0SGOMVwH99tlf6mB6iZCN+G24=&amp;_app_id=central_doc_viewer&amp;center_on_screen=true&amp;width=950&amp;height=800&amp;_dd2=%26f%3Dsld%26c%3Dtrue%26os%3D464633%26oe%3D464639" TargetMode="External"/><Relationship Id="rId78" Type="http://schemas.openxmlformats.org/officeDocument/2006/relationships/hyperlink" Target="fdsup://factset/Doc%20Viewer%20Single?float_window=true&amp;positioning_strategy=center_on_screen&amp;_doc_docfn=U2FsdGVkX1+M8F25eq0mVKaibgLUvjXQByRl3IDrbC6v4B5MjSFTmpxMh9/LrPzS1uPFSfDRTLSmkO/GJdWP1ayN1oPsq74UZQ/gWzckYeI=&amp;_app_id=central_doc_viewer&amp;center_on_screen=true&amp;width=950&amp;height=800&amp;_dd2=%26f%3Dsld%26c%3Dtrue%26os%3D143669%26oe%3D143672" TargetMode="External"/><Relationship Id="rId99" Type="http://schemas.openxmlformats.org/officeDocument/2006/relationships/hyperlink" Target="fdsup://factset/Doc%20Viewer%20Single?float_window=true&amp;positioning_strategy=center_on_screen&amp;_doc_docfn=U2FsdGVkX1/BKYAOIrWh3nhUFVgrS1L2DV6YN1jz8N/dvC2rsw6u/l+0YkdDjer3uqUS69Ooqpo54mEdfCSwTa6ZxjAZqb2LY1HbG6Txs+A=&amp;_app_id=central_doc_viewer&amp;center_on_screen=true&amp;width=950&amp;height=800&amp;_dd2=%26f%3Dsld%26c%3Dtrue%26os%3D228352%26oe%3D228355" TargetMode="External"/><Relationship Id="rId101" Type="http://schemas.openxmlformats.org/officeDocument/2006/relationships/hyperlink" Target="fdsup://factset/Doc%20Viewer%20Single?float_window=true&amp;positioning_strategy=center_on_screen&amp;_doc_docfn=U2FsdGVkX1/JalPymdBtNSUAO6cpeEGhg+iz+OAa/zgKbrCc0FfbMIbHtrAmQgV+hCxwUzoMRaiJHHe6+8BV0Oa8h18s9OieFTnZo/OXHK0=&amp;_app_id=central_doc_viewer&amp;center_on_screen=true&amp;width=950&amp;height=800&amp;_dd2=%26f%3Dsld%26c%3Dtrue%26os%3D228363%26oe%3D228370" TargetMode="External"/><Relationship Id="rId122" Type="http://schemas.openxmlformats.org/officeDocument/2006/relationships/hyperlink" Target="fdsup://factset/Doc%20Viewer%20Single?float_window=true&amp;positioning_strategy=center_on_screen&amp;_doc_docfn=U2FsdGVkX1+vdm/E8Wzve5LW7C2tYcqEpx5AfoPYftTarlAsZkEimAKsOPJvSswVKQvblatelBHtYmW6K/iNPbX09CKsSmL7niAity7CTk0=&amp;_app_id=central_doc_viewer&amp;center_on_screen=true&amp;width=950&amp;height=800&amp;_dd2=%26f%3Dsld%26c%3Dtrue%26os%3D392557%26oe%3D392562" TargetMode="External"/><Relationship Id="rId143" Type="http://schemas.openxmlformats.org/officeDocument/2006/relationships/hyperlink" Target="fdsup://factset/Doc%20Viewer%20Single?float_window=true&amp;positioning_strategy=center_on_screen&amp;_doc_docfn=U2FsdGVkX1/c4R5H/yktfVEBqWsYS0lgB1RGPPfUGOwbsn6aUk9dX74ATEpVUxcsB/ewed/KzNb/C8RcKRxqG9E0eHcOj8pPeVpiD1nl8OY=&amp;_app_id=central_doc_viewer&amp;center_on_screen=true&amp;width=950&amp;height=800&amp;_dd2=%26f%3Dsld%26c%3Dtrue%26os%3D179718%26oe%3D179721" TargetMode="External"/><Relationship Id="rId164" Type="http://schemas.openxmlformats.org/officeDocument/2006/relationships/hyperlink" Target="fdsup://factset/Doc%20Viewer%20Single?float_window=true&amp;positioning_strategy=center_on_screen&amp;_doc_docfn=U2FsdGVkX18vUwAS9EhINwQM3xoz6HauDatLcH/lmkZ0sZMHUncOcqKenUZqvXZ59U5lTp5oGPWwyu/faTK3lJOhhgXL8HP8qJCkwudvmIM=&amp;_app_id=central_doc_viewer&amp;center_on_screen=true&amp;width=950&amp;height=800&amp;_dd2=%26f%3Dsld%26c%3Dtrue%26os%3D152468%26oe%3D152476" TargetMode="External"/><Relationship Id="rId185" Type="http://schemas.openxmlformats.org/officeDocument/2006/relationships/hyperlink" Target="fdsup://factset/Doc%20Viewer%20Single?float_window=true&amp;positioning_strategy=center_on_screen&amp;_doc_docfn=U2FsdGVkX1+LJAUs/qUaStx986C/R9sqhJ4BNBwrfijcaz2a2y408Teko5Os1kk5G6pubLnxU2POSf4vbBw8hSSP6DxMlZg9YgPyIyocrL4=&amp;_app_id=central_doc_viewer&amp;center_on_screen=true&amp;width=950&amp;height=800&amp;_dd2=%26f%3Dsld%26c%3Dtrue%26os%3D249458%26oe%3D249467" TargetMode="External"/><Relationship Id="rId350" Type="http://schemas.openxmlformats.org/officeDocument/2006/relationships/hyperlink" Target="fdsup://factset/Doc%20Viewer%20Single?float_window=true&amp;positioning_strategy=center_on_screen&amp;_doc_docfn=U2FsdGVkX19+R9sObhaVMn33n+m45HKBTySOkukLa7fz/ND/RTA/t7vRUrzoiX01BpRiotV9xT/D2BVYP99bvRuHSOkQParVj+dVyMz7fjk=&amp;_app_id=central_doc_viewer&amp;center_on_screen=true&amp;width=950&amp;height=800&amp;_dd2=%26f%3Dsld%26c%3Dtrue%26os%3D171629%26oe%3D171634" TargetMode="External"/><Relationship Id="rId9" Type="http://schemas.openxmlformats.org/officeDocument/2006/relationships/hyperlink" Target="fdsup://factset/Doc%20Viewer%20Single?float_window=true&amp;positioning_strategy=center_on_screen&amp;_doc_docfn=U2FsdGVkX19JNnLTD8YQ7G+xn5/RkRmyi0wGYpzYkZEQuyzx7A3RsJUH+RVjSzsYTXtiQiJrwJ/ze+RsM943cvfagIgItaeJvEymhFNcDrI=&amp;_app_id=central_doc_viewer&amp;center_on_screen=true&amp;width=950&amp;height=800&amp;_dd2=%26f%3Dsld%26c%3Dtrue%26os%3D230334%26oe%3D230341" TargetMode="External"/><Relationship Id="rId210" Type="http://schemas.openxmlformats.org/officeDocument/2006/relationships/hyperlink" Target="fdsup://factset/Doc%20Viewer%20Single?float_window=true&amp;positioning_strategy=center_on_screen&amp;_doc_docfn=U2FsdGVkX1/F5X9tLlFTLQWKuuPWUMaRi50GVIFFMgI2evrtLX1wVC6Iy9mWUEVp7gBmy19/hMxI0GdGQn6B76XBI4cX/aUyi3dkwvVj3Dw=&amp;_app_id=central_doc_viewer&amp;center_on_screen=true&amp;width=950&amp;height=800&amp;_dd2=%26f%3Dsld%26c%3Dtrue%26os%3D236401%26oe%3D236408" TargetMode="External"/><Relationship Id="rId26" Type="http://schemas.openxmlformats.org/officeDocument/2006/relationships/hyperlink" Target="fdsup://factset/Doc%20Viewer%20Single?float_window=true&amp;positioning_strategy=center_on_screen&amp;_doc_docfn=U2FsdGVkX1+6CkTpboUCM0Ph4pYdNSuklRKC2af2eVcvFHINa8l1h0ZUPUgzqOnGgtfPO7VOXEjF/P5KV2SqVKQR9Kc1DU2HQiAwBemoF10=&amp;_app_id=central_doc_viewer&amp;center_on_screen=true&amp;width=950&amp;height=800&amp;_dd2=%26f%3Dsld%26c%3Dtrue%26os%3D364963%26oe%3D364969" TargetMode="External"/><Relationship Id="rId231" Type="http://schemas.openxmlformats.org/officeDocument/2006/relationships/hyperlink" Target="fdsup://factset/Doc%20Viewer%20Single?float_window=true&amp;positioning_strategy=center_on_screen&amp;_doc_docfn=U2FsdGVkX1+GJjT5g9UjnQqyUEACDdZSmXFNaEP5z7xFgKZgDJY8DwsxrhsJHPq0NTMomXhsXqdtLe6a+CH1grjQ7YNIrJE9SqSISmNziZ4=&amp;_app_id=central_doc_viewer&amp;center_on_screen=true&amp;width=950&amp;height=800&amp;_dd2=%26f%3Dsld%26c%3Dtrue%26os%3D380254%26oe%3D380259" TargetMode="External"/><Relationship Id="rId252" Type="http://schemas.openxmlformats.org/officeDocument/2006/relationships/hyperlink" Target="fdsup://factset/Doc%20Viewer%20Single?float_window=true&amp;positioning_strategy=center_on_screen&amp;_doc_docfn=U2FsdGVkX19RMhoMGEBdX1aYws1/hz6HAydJpqjnfOy9bYFuQCh6e+1B4Y6blJsg0eRj+3NR9wl36COH7SYr7TXDxOSvhmTr75dXqnDZS9A=&amp;_app_id=central_doc_viewer&amp;center_on_screen=true&amp;width=950&amp;height=800&amp;_dd2=%26f%3Dsld%26c%3Dtrue%26os%3D245364%26oe%3D245372" TargetMode="External"/><Relationship Id="rId273" Type="http://schemas.openxmlformats.org/officeDocument/2006/relationships/hyperlink" Target="fdsup://factset/Doc%20Viewer%20Single?float_window=true&amp;positioning_strategy=center_on_screen&amp;_doc_docfn=U2FsdGVkX1+Iyg9ofG4fwB5pP4bpsFP2Ij8xY0TZ1RCuGf8lb8yWzD0A+o8E8TiVhB1yGBcA+6efC0d2XAJDFN3PRZ8epKIqyLrPb62GxSA=&amp;_app_id=central_doc_viewer&amp;center_on_screen=true&amp;width=950&amp;height=800&amp;_dd2=%26f%3Dsld%26c%3Dtrue%26os%3D242936%26oe%3D242944" TargetMode="External"/><Relationship Id="rId294" Type="http://schemas.openxmlformats.org/officeDocument/2006/relationships/hyperlink" Target="fdsup://factset/Doc%20Viewer%20Single?float_window=true&amp;positioning_strategy=center_on_screen&amp;_doc_docfn=U2FsdGVkX1+lwg191R5N4KNTKG7+Zfl0vWJdB3ebHu+wLcRGZ0sb7YPUwu32eIGi1Eq9+WhJAPG7u4BYk16LzD91a/NbzlKtB7sh9xK0wew=&amp;_app_id=central_doc_viewer&amp;center_on_screen=true&amp;width=950&amp;height=800&amp;_dd2=%26f%3Dsld%26c%3Dtrue%26os%3D244467%26oe%3D244475" TargetMode="External"/><Relationship Id="rId308" Type="http://schemas.openxmlformats.org/officeDocument/2006/relationships/hyperlink" Target="fdsup://factset/Doc%20Viewer%20Single?float_window=true&amp;positioning_strategy=center_on_screen&amp;_doc_docfn=U2FsdGVkX1/Di79JMZy78mJWIKWE6f+U9/Cihgq8X2fIq3WduRt2TE40Kdjo2UxYaaAI04uHXUfd6GvT/KcO5sLvIjGprtm04+Fsnize/ns=&amp;_app_id=central_doc_viewer&amp;center_on_screen=true&amp;width=950&amp;height=800&amp;_dd2=%26f%3Dsld%26c%3Dtrue%26os%3D168069%26oe%3D168072" TargetMode="External"/><Relationship Id="rId329" Type="http://schemas.openxmlformats.org/officeDocument/2006/relationships/hyperlink" Target="fdsup://factset/Doc%20Viewer%20Single?float_window=true&amp;positioning_strategy=center_on_screen&amp;_doc_docfn=U2FsdGVkX1/1OXIuA5Hf+1rsnqN87MV1iXwpQnXx4cmQaW90+G0DM9Mtl9NRyE2BG3RsQoBOryVmt0OzSoX7jBK3iWc5+Jke0EXWHp/fIXM=&amp;_app_id=central_doc_viewer&amp;center_on_screen=true&amp;width=950&amp;height=800&amp;_dd2=%26f%3Dsld%26c%3Dtrue%26os%3D457805%26oe%3D457811" TargetMode="External"/><Relationship Id="rId47" Type="http://schemas.openxmlformats.org/officeDocument/2006/relationships/hyperlink" Target="fdsup://factset/Doc%20Viewer%20Single?float_window=true&amp;positioning_strategy=center_on_screen&amp;_doc_docfn=U2FsdGVkX1+IJ0WmOLb9E25ZNIHo8fVaYECSn3Tlk3p/ZIY3x9XgaejSPDM2s/OUIBU3toVlO5r+JA/BxNaDw17bR95OswZsQH/YuTUdtV4=&amp;_app_id=central_doc_viewer&amp;center_on_screen=true&amp;width=950&amp;height=800&amp;_dd2=%26f%3Dsld%26c%3Dtrue%26os%3D221755%26oe%3D221761" TargetMode="External"/><Relationship Id="rId68" Type="http://schemas.openxmlformats.org/officeDocument/2006/relationships/hyperlink" Target="fdsup://factset/Doc%20Viewer%20Single?float_window=true&amp;positioning_strategy=center_on_screen&amp;_doc_docfn=U2FsdGVkX1/IdoQkqgruNZB+3s3cI5DZYTb409Flvq4b6wPbMxCm+mzWCKMRkQl3nFMQpGIz05rvFE6bNHAxTyurupya2ch3CzznK7Khbxo=&amp;_app_id=central_doc_viewer&amp;center_on_screen=true&amp;width=950&amp;height=800&amp;_dd2=%26f%3Dsld%26c%3Dtrue%26os%3D171983%26oe%3D171984" TargetMode="External"/><Relationship Id="rId89" Type="http://schemas.openxmlformats.org/officeDocument/2006/relationships/hyperlink" Target="fdsup://factset/Doc%20Viewer%20Single?float_window=true&amp;positioning_strategy=center_on_screen&amp;_doc_docfn=U2FsdGVkX1+XW/j0J/AcBoiI5juhW3WXUCFfyqXyQFc/tPswvXLdPEAf9InogQc0jeKVBUjatWomWzxbLaZmNXrRpdks1+xsq0c8uziZU/M=&amp;_app_id=central_doc_viewer&amp;center_on_screen=true&amp;width=950&amp;height=800&amp;_dd2=%26f%3Dsld%26c%3Dtrue%26os%3D227607%26oe%3D227614" TargetMode="External"/><Relationship Id="rId112" Type="http://schemas.openxmlformats.org/officeDocument/2006/relationships/hyperlink" Target="fdsup://factset/Doc%20Viewer%20Single?float_window=true&amp;positioning_strategy=center_on_screen&amp;_doc_docfn=U2FsdGVkX19eUbJuVQBGOUyAVL1B4dMkE6WzpdZO8pjz/KYe+TiRh2nI7kLGrS5rY7eLTC0HXBrVZsJ8IszaqQROb1rhWcWtpL3i1nW/nBg=&amp;_app_id=central_doc_viewer&amp;center_on_screen=true&amp;width=950&amp;height=800&amp;_dd2=%26f%3Dsld%26c%3Dtrue%26os%3D389892%26oe%3D389895" TargetMode="External"/><Relationship Id="rId133" Type="http://schemas.openxmlformats.org/officeDocument/2006/relationships/hyperlink" Target="fdsup://factset/Doc%20Viewer%20Single?float_window=true&amp;positioning_strategy=center_on_screen&amp;_doc_docfn=U2FsdGVkX1/anpZz/ydgQR8pc6Qj1w16sBPk/BUunwr/px7vFj5gW/KQpvxf35C7IPqD0s5pSelwIMuAcV2WCtz4VDDOXGh98VbQ3sDp5Wc=&amp;_app_id=central_doc_viewer&amp;center_on_screen=true&amp;width=950&amp;height=800&amp;_dd2=%26f%3Dsld%26c%3Dtrue%26os%3D178932%26oe%3D178935" TargetMode="External"/><Relationship Id="rId154" Type="http://schemas.openxmlformats.org/officeDocument/2006/relationships/hyperlink" Target="fdsup://factset/Doc%20Viewer%20Single?float_window=true&amp;positioning_strategy=center_on_screen&amp;_doc_docfn=U2FsdGVkX1+ILCQllySeJ9gIgUTL4JNOskHJPZ3X8tcTLEgHUuTI6lHVlE/PDjyS9OcZIq6ckt+kKZmemQ4QLUY/PqWedk3/Bn5Mykq8hzU=&amp;_app_id=central_doc_viewer&amp;center_on_screen=true&amp;width=950&amp;height=800&amp;_dd2=%26f%3Dsld%26c%3Dtrue%26os%3D161077%26oe%3D161085" TargetMode="External"/><Relationship Id="rId175" Type="http://schemas.openxmlformats.org/officeDocument/2006/relationships/hyperlink" Target="fdsup://factset/Doc%20Viewer%20Single?float_window=true&amp;positioning_strategy=center_on_screen&amp;_doc_docfn=U2FsdGVkX1+LcS/iA2owCjtJyJZfI3w8rtFatuJUpbtmSWmDEESd8fhz5LcCwTmi3p97qvMgnisjCuNcewR2CFuzLvCTmKELhiRsmhFMJAg=&amp;_app_id=central_doc_viewer&amp;center_on_screen=true&amp;width=950&amp;height=800&amp;_dd2=%26f%3Dsld%26c%3Dtrue%26os%3D254275%26oe%3D254278" TargetMode="External"/><Relationship Id="rId340" Type="http://schemas.openxmlformats.org/officeDocument/2006/relationships/hyperlink" Target="fdsup://factset/Doc%20Viewer%20Single?float_window=true&amp;positioning_strategy=center_on_screen&amp;_doc_docfn=U2FsdGVkX19lxJDmaK6xuYL0DnwwYh6StbTjSJlU/iKeZPZ7c4Yhs1xe78WQI4qUPZPfbSdhcKolpryVQjDUJg9L7HGXsQk756SdYIL4drA=&amp;_app_id=central_doc_viewer&amp;center_on_screen=true&amp;width=950&amp;height=800&amp;_dd2=%26f%3Dsld%26c%3Dtrue%26os%3D198822%26oe%3D198828" TargetMode="External"/><Relationship Id="rId196" Type="http://schemas.openxmlformats.org/officeDocument/2006/relationships/hyperlink" Target="fdsup://factset/Doc%20Viewer%20Single?float_window=true&amp;positioning_strategy=center_on_screen&amp;_doc_docfn=U2FsdGVkX1/WVedYM7EnIQ0ZI16uEP1wF+qq0EA3GezdeSX3aJtEZjmjWL66Cy/4Q4VxUoLc1uYCuZABl87vqPmv5mHj6cGWLfNDdy3R+kQ=&amp;_app_id=central_doc_viewer&amp;center_on_screen=true&amp;width=950&amp;height=800&amp;_dd2=%26f%3Dsld%26c%3Dtrue%26os%3D377819%26oe%3D377826" TargetMode="External"/><Relationship Id="rId200" Type="http://schemas.openxmlformats.org/officeDocument/2006/relationships/hyperlink" Target="fdsup://factset/Doc%20Viewer%20Single?float_window=true&amp;positioning_strategy=center_on_screen&amp;_doc_docfn=U2FsdGVkX19CxddDTqpLkC4AbB6MGezLDHQ0zAw0IvxjlOe47COhzLO9SHHwhCsK6hMiGbBPJMIn1nY+dBeVoLH1W34Hn5JMgtVqme/0vYs=&amp;_app_id=central_doc_viewer&amp;center_on_screen=true&amp;width=950&amp;height=800&amp;_dd2=%26f%3Dsld%26c%3Dtrue%26os%3D235604%26oe%3D235611" TargetMode="External"/><Relationship Id="rId16" Type="http://schemas.openxmlformats.org/officeDocument/2006/relationships/hyperlink" Target="fdsup://factset/Doc%20Viewer%20Single?float_window=true&amp;positioning_strategy=center_on_screen&amp;_doc_docfn=U2FsdGVkX18hqb4pr8rQxJ8FcbjR4BKtfIdjZkISb4eDDjRW54g0ZUPviAsqtZQq0zuj+L9FEyUU+0tS/Pe5tS1z5LlgBKdtPLZK7GJeIog=&amp;_app_id=central_doc_viewer&amp;center_on_screen=true&amp;width=950&amp;height=800&amp;_dd2=%26f%3Dsld%26c%3Dtrue%26os%3D363874%26oe%3D363880" TargetMode="External"/><Relationship Id="rId221" Type="http://schemas.openxmlformats.org/officeDocument/2006/relationships/hyperlink" Target="fdsup://factset/Doc%20Viewer%20Single?float_window=true&amp;positioning_strategy=center_on_screen&amp;_doc_docfn=U2FsdGVkX188mOVjRMkvAnOzRoTIJSJ5me9z082J4Z6DK9YujJedEu+q4W0W2PJL23caA5JF7l2h996T/doNq95Bikmweb9DVasCCxf3vxI=&amp;_app_id=central_doc_viewer&amp;center_on_screen=true&amp;width=950&amp;height=800&amp;_dd2=%26f%3Dsld%26c%3Dtrue%26os%3D186848%26oe%3D186855" TargetMode="External"/><Relationship Id="rId242" Type="http://schemas.openxmlformats.org/officeDocument/2006/relationships/hyperlink" Target="fdsup://factset/Doc%20Viewer%20Single?float_window=true&amp;positioning_strategy=center_on_screen&amp;_doc_docfn=U2FsdGVkX1/zDGM/qb+hC4AdSYm8OEgI1ygOhpDkpVOlQZ4Sbz5rnsIURd1NbcqPU2xJlKt+51LjAfHcoSJxFrYhFTZqtksflRK8MYw8Eog=&amp;_app_id=central_doc_viewer&amp;center_on_screen=true&amp;width=950&amp;height=800&amp;_dd2=%26f%3Dsld%26c%3Dtrue%26os%3D253520%26oe%3D253521" TargetMode="External"/><Relationship Id="rId263" Type="http://schemas.openxmlformats.org/officeDocument/2006/relationships/hyperlink" Target="fdsup://factset/Doc%20Viewer%20Single?float_window=true&amp;positioning_strategy=center_on_screen&amp;_doc_docfn=U2FsdGVkX18Z7BtcT5Ir7MYuAgGuDW+3wdjtZtgo0GU2dlkVbCpOi30//uqqizCdpKfVhu+9CxnqEd0MpfxVbgKQAj4EaheO0/nhreIiOsA=&amp;_app_id=central_doc_viewer&amp;center_on_screen=true&amp;width=950&amp;height=800&amp;_dd2=%26f%3Dsld%26c%3Dtrue%26os%3D434513%26oe%3D434516" TargetMode="External"/><Relationship Id="rId284" Type="http://schemas.openxmlformats.org/officeDocument/2006/relationships/hyperlink" Target="fdsup://factset/Doc%20Viewer%20Single?float_window=true&amp;positioning_strategy=center_on_screen&amp;_doc_docfn=U2FsdGVkX19hHgvcS33Dce7P9ROeVuU6exjolZKQPQ8aZsHIRtUO2GOJQV5JZzFgAiAUfmPtAURgTJeMkqzK7GsR6UxS2Mo4i751jkq+Qxo=&amp;_app_id=central_doc_viewer&amp;center_on_screen=true&amp;width=950&amp;height=800&amp;_dd2=%26f%3Dsld%26c%3Dtrue%26os%3D243716%26oe%3D243722" TargetMode="External"/><Relationship Id="rId319" Type="http://schemas.openxmlformats.org/officeDocument/2006/relationships/hyperlink" Target="fdsup://factset/Doc%20Viewer%20Single?float_window=true&amp;positioning_strategy=center_on_screen&amp;_doc_docfn=U2FsdGVkX1/v31QO4h5aP/Sclkbwm6ta6VcaxYM6dY7cDmxWzZNppgcEhfTqgx31Hv09r8AW4vI9hCKCOcVcwM2RDyJR22Jm9n2WAcEabmM=&amp;_app_id=central_doc_viewer&amp;center_on_screen=true&amp;width=950&amp;height=800&amp;_dd2=%26f%3Dsld%26c%3Dtrue%26os%3D460455%26oe%3D460456" TargetMode="External"/><Relationship Id="rId37" Type="http://schemas.openxmlformats.org/officeDocument/2006/relationships/hyperlink" Target="fdsup://factset/Doc%20Viewer%20Single?float_window=true&amp;positioning_strategy=center_on_screen&amp;_doc_docfn=U2FsdGVkX193xoL2dD+HtidXuPWqx6tJoWRLJbXWjKDf8sWRJ38PkA2MbuKSRoppcdfT1NYj/D2gUvP43MYdtcX+RCPMhBnFbDZ2YDaa3Wo=&amp;_app_id=central_doc_viewer&amp;center_on_screen=true&amp;width=950&amp;height=800&amp;_dd2=%26f%3Dsld%26c%3Dtrue%26os%3D224909%26oe%3D224912" TargetMode="External"/><Relationship Id="rId58" Type="http://schemas.openxmlformats.org/officeDocument/2006/relationships/hyperlink" Target="fdsup://factset/Doc%20Viewer%20Single?float_window=true&amp;positioning_strategy=center_on_screen&amp;_doc_docfn=U2FsdGVkX1/QEzVm8ky3ICrUZhXPkVN/tq+0HnudFlZgtxwbr3btqAhFAb74//yL+3QOe1djaxGe1CNJ9+NkaHdyjGjhtE2P1o5n3v3e3/Q=&amp;_app_id=central_doc_viewer&amp;center_on_screen=true&amp;width=950&amp;height=800&amp;_dd2=%26f%3Dsld%26c%3Dtrue%26os%3D222479%26oe%3D222486" TargetMode="External"/><Relationship Id="rId79" Type="http://schemas.openxmlformats.org/officeDocument/2006/relationships/hyperlink" Target="fdsup://factset/Doc%20Viewer%20Single?float_window=true&amp;positioning_strategy=center_on_screen&amp;_doc_docfn=U2FsdGVkX1+T6n4CaKbyRmnf0DorQpiMWK9dFsxRzKOY/uD5S2K0Wdu4YW8iticicve21+sMmLJOpge97kkoF6aqPCV5mKUoLMoMxdqHWus=&amp;_app_id=central_doc_viewer&amp;center_on_screen=true&amp;width=950&amp;height=800&amp;_dd2=%26f%3Dsld%26c%3Dtrue%26os%3D377423%26oe%3D377426" TargetMode="External"/><Relationship Id="rId102" Type="http://schemas.openxmlformats.org/officeDocument/2006/relationships/hyperlink" Target="fdsup://factset/Doc%20Viewer%20Single?float_window=true&amp;positioning_strategy=center_on_screen&amp;_doc_docfn=U2FsdGVkX1/pLzFF34B1wQnNq1h+mqRH9JsTvBWtS1jCo1sYg/F+6sds5V5+fNMTI/y55mUNxJn84WKJQCkz4NzY8Solkqhd/SSTF1VX5LE=&amp;_app_id=central_doc_viewer&amp;center_on_screen=true&amp;width=950&amp;height=800&amp;_dd2=%26f%3Dsld%26c%3Dtrue%26os%3D387452%26oe%3D387457" TargetMode="External"/><Relationship Id="rId123" Type="http://schemas.openxmlformats.org/officeDocument/2006/relationships/hyperlink" Target="fdsup://factset/Doc%20Viewer%20Single?float_window=true&amp;positioning_strategy=center_on_screen&amp;_doc_docfn=U2FsdGVkX1+wjjxV9fTvD+I9BK3Op+0peSFwRlmspeZ+VEjIWW1TGBXVQv41bqmfMjqLS98UU39rYCEJrFOvRmoeso/AEHv705riDagYRz8=&amp;_app_id=central_doc_viewer&amp;center_on_screen=true&amp;width=950&amp;height=800&amp;_dd2=%26f%3Dsld%26c%3Dtrue%26os%3D178125%26oe%3D178130" TargetMode="External"/><Relationship Id="rId144" Type="http://schemas.openxmlformats.org/officeDocument/2006/relationships/hyperlink" Target="fdsup://factset/Doc%20Viewer%20Single?float_window=true&amp;positioning_strategy=center_on_screen&amp;_doc_docfn=U2FsdGVkX1+VQnZkGTgmG3d1xsxa47SwVrY1+aAW5iwWeBQVSKBf/vnHOBvCNWy/qjEJ8NDEwLgG9kK8TnhAhASNKdenR1ALui9I2fovxy0=&amp;_app_id=central_doc_viewer&amp;center_on_screen=true&amp;width=950&amp;height=800&amp;_dd2=%26f%3Dsld%26c%3Dtrue%26os%3D150440%26oe%3D150443" TargetMode="External"/><Relationship Id="rId330" Type="http://schemas.openxmlformats.org/officeDocument/2006/relationships/hyperlink" Target="fdsup://factset/Doc%20Viewer%20Single?float_window=true&amp;positioning_strategy=center_on_screen&amp;_doc_docfn=U2FsdGVkX1+z1ikH9gy1wdc59sz+QI84OLWEaT5oFjQOaPynMdZCBT6vpaXd7SSdkLX00tNL33BTV4kbipK6kHKw6Wt6Rq8NtYH0kUpdpLk=&amp;_app_id=central_doc_viewer&amp;center_on_screen=true&amp;width=950&amp;height=800&amp;_dd2=%26f%3Dsld%26c%3Dtrue%26os%3D198078%26oe%3D198084" TargetMode="External"/><Relationship Id="rId90" Type="http://schemas.openxmlformats.org/officeDocument/2006/relationships/hyperlink" Target="fdsup://factset/Doc%20Viewer%20Single?float_window=true&amp;positioning_strategy=center_on_screen&amp;_doc_docfn=U2FsdGVkX1/yMgb7j4ahKJCXlrD6mmivxyKWXCQLtaEBPEEpdHb2+yKz4P5t4T40CSNByFFnCo3X/d3H0+jsAC+pYYpZ5JGXLPW6KmUcafs=&amp;_app_id=central_doc_viewer&amp;center_on_screen=true&amp;width=950&amp;height=800&amp;_dd2=%26f%3Dsld%26c%3Dtrue%26os%3D225062%26oe%3D225069" TargetMode="External"/><Relationship Id="rId165" Type="http://schemas.openxmlformats.org/officeDocument/2006/relationships/hyperlink" Target="fdsup://factset/Doc%20Viewer%20Single?float_window=true&amp;positioning_strategy=center_on_screen&amp;_doc_docfn=U2FsdGVkX18gdkTxTb6PokMJiDL97LtRwj5g5Sr5zKM1YYrLBlEJy+wvwnm2X5RKc3i+Lvypj8O5nXi3e2ObG3Mp7xN7/qp6VfxFx24dIMg=&amp;_app_id=central_doc_viewer&amp;center_on_screen=true&amp;width=950&amp;height=800&amp;_dd2=%26f%3Dsld%26c%3Dtrue%26os%3D142381%26oe%3D142389" TargetMode="External"/><Relationship Id="rId186" Type="http://schemas.openxmlformats.org/officeDocument/2006/relationships/hyperlink" Target="fdsup://factset/Doc%20Viewer%20Single?float_window=true&amp;positioning_strategy=center_on_screen&amp;_doc_docfn=U2FsdGVkX1/30KNajP3WOawszrZIADduCxV8RI3fai5xeJDxmPrrk/GxGpJGbAe5udeVtoopVXPxRmq4QR3oqfX5OyVHnaLKFwl98bkCN6o=&amp;_app_id=central_doc_viewer&amp;center_on_screen=true&amp;width=950&amp;height=800&amp;_dd2=%26f%3Dsld%26c%3Dtrue%26os%3D377013%26oe%3D377022" TargetMode="External"/><Relationship Id="rId351" Type="http://schemas.openxmlformats.org/officeDocument/2006/relationships/hyperlink" Target="fdsup://factset/Doc%20Viewer%20Single?float_window=true&amp;positioning_strategy=center_on_screen&amp;_doc_docfn=U2FsdGVkX1+4ann841BiUXYO34iGpgZNB+2QnEGmL+4rSu63REqcv/xRV8rRpUzuoupmZC/xI9BL1GDvm+PghT3RpktmvW+9M8dYL/E/R5A=&amp;_app_id=central_doc_viewer&amp;center_on_screen=true&amp;width=950&amp;height=800&amp;_dd2=%26f%3Dsld%26c%3Dtrue%26os%3D160789%26oe%3D160794" TargetMode="External"/><Relationship Id="rId211" Type="http://schemas.openxmlformats.org/officeDocument/2006/relationships/hyperlink" Target="fdsup://factset/Doc%20Viewer%20Single?float_window=true&amp;positioning_strategy=center_on_screen&amp;_doc_docfn=U2FsdGVkX18Er5uxCw3vd9qyA9zOwWdTjZitO3ZQNvEO/mVlIcpdFjiztV67e2TxfUFgLIFU6mFhdou8GkbJVQDqupU5Z3ztO91mzfw0oYs=&amp;_app_id=central_doc_viewer&amp;center_on_screen=true&amp;width=950&amp;height=800&amp;_dd2=%26f%3Dsld%26c%3Dtrue%26os%3D185989%26oe%3D185992" TargetMode="External"/><Relationship Id="rId232" Type="http://schemas.openxmlformats.org/officeDocument/2006/relationships/hyperlink" Target="fdsup://factset/Doc%20Viewer%20Single?float_window=true&amp;positioning_strategy=center_on_screen&amp;_doc_docfn=U2FsdGVkX1+woAFgt516xr42BQNzuv/AmGgoOPmk1poAGZ6A7Y8IOq8t1VgCAfxMpXRepbte8iczd4z+BBCMyYUFU32KyM0S/MGMSc2VwAc=&amp;_app_id=central_doc_viewer&amp;center_on_screen=true&amp;width=950&amp;height=800&amp;_dd2=%26f%3Dsld%26c%3Dtrue%26os%3D239372%26oe%3D239379" TargetMode="External"/><Relationship Id="rId253" Type="http://schemas.openxmlformats.org/officeDocument/2006/relationships/hyperlink" Target="fdsup://factset/Doc%20Viewer%20Single?float_window=true&amp;positioning_strategy=center_on_screen&amp;_doc_docfn=U2FsdGVkX1+UjiPehI7f5/ES4OIwzqqVQonCv/FfTemy68/c7HFTYkW5uyCW0A2OWvxi2SGE2fGIvwcXAQXX1NLyZ+CA0lpJ/Dggbo5hrME=&amp;_app_id=central_doc_viewer&amp;center_on_screen=true&amp;width=950&amp;height=800&amp;_dd2=%26f%3Dsld%26c%3Dtrue%26os%3D431785%26oe%3D431792" TargetMode="External"/><Relationship Id="rId274" Type="http://schemas.openxmlformats.org/officeDocument/2006/relationships/hyperlink" Target="fdsup://factset/Doc%20Viewer%20Single?float_window=true&amp;positioning_strategy=center_on_screen&amp;_doc_docfn=U2FsdGVkX18Gc/XiwMFbciT+WED2C1aPpumct/YMxRWfU7d5bdPMicrphqxL0i24MQ0JEyT1w5yvs9lB+dFB4z39HIAFWnZ89MrQvde/Rq0=&amp;_app_id=central_doc_viewer&amp;center_on_screen=true&amp;width=950&amp;height=800&amp;_dd2=%26f%3Dsld%26c%3Dtrue%26os%3D241573%26oe%3D241581" TargetMode="External"/><Relationship Id="rId295" Type="http://schemas.openxmlformats.org/officeDocument/2006/relationships/hyperlink" Target="fdsup://factset/Doc%20Viewer%20Single?float_window=true&amp;positioning_strategy=center_on_screen&amp;_doc_docfn=U2FsdGVkX184Z/ogGfyIL72IZHhglxi8jtEiyj1rtCtyFQ+vW8zWvqshC+/7CynHGacbF0EvGuLRVlAa/9mK+u3PEYLGMiOob0AXhImsVsI=&amp;_app_id=central_doc_viewer&amp;center_on_screen=true&amp;width=950&amp;height=800&amp;_dd2=%26f%3Dsld%26c%3Dtrue%26os%3D243109%26oe%3D243117" TargetMode="External"/><Relationship Id="rId309" Type="http://schemas.openxmlformats.org/officeDocument/2006/relationships/hyperlink" Target="fdsup://factset/Doc%20Viewer%20Single?float_window=true&amp;positioning_strategy=center_on_screen&amp;_doc_docfn=U2FsdGVkX1/uGHCmpmKvOQhgui0hRjxVlG13w4X9DnXXDu32fE1b2VY1VZ4TxS707KGB1GBW3dQZ1TL1MdOp7mtz/CqzI5F4AILc4pG+uzk=&amp;_app_id=central_doc_viewer&amp;center_on_screen=true&amp;width=950&amp;height=800&amp;_dd2=%26f%3Dsld%26c%3Dtrue%26os%3D157220%26oe%3D157225" TargetMode="External"/><Relationship Id="rId27" Type="http://schemas.openxmlformats.org/officeDocument/2006/relationships/hyperlink" Target="fdsup://factset/Doc%20Viewer%20Single?float_window=true&amp;positioning_strategy=center_on_screen&amp;_doc_docfn=U2FsdGVkX1827OtWMpzqp0KXtun3m964u/e1q674k/P1JKC73FOWLBYF6/ABnJFnGrPcBS/wlPnP63qmDUVZW/Mp9AyWph66n36Nhhr2FyE=&amp;_app_id=central_doc_viewer&amp;center_on_screen=true&amp;width=950&amp;height=800&amp;_dd2=%26f%3Dsld%26c%3Dtrue%26os%3D224075%26oe%3D224081" TargetMode="External"/><Relationship Id="rId48" Type="http://schemas.openxmlformats.org/officeDocument/2006/relationships/hyperlink" Target="fdsup://factset/Doc%20Viewer%20Single?float_window=true&amp;positioning_strategy=center_on_screen&amp;_doc_docfn=U2FsdGVkX18FxHBX5UkecmeRWR4rDirAskdB0Dx6qGNmZDu/g+G0dqRbg8EWVv/mv18KXOfLaz43Bg3blGl1nZ/yXU7OPbfyjW+DvuqrWSo=&amp;_app_id=central_doc_viewer&amp;center_on_screen=true&amp;width=950&amp;height=800&amp;_dd2=%26f%3Dsld%26c%3Dtrue%26os%3D224310%26oe%3D224316" TargetMode="External"/><Relationship Id="rId69" Type="http://schemas.openxmlformats.org/officeDocument/2006/relationships/hyperlink" Target="fdsup://factset/Doc%20Viewer%20Single?float_window=true&amp;positioning_strategy=center_on_screen&amp;_doc_docfn=U2FsdGVkX1/DGHC+GkCUTNE1vFhccjAccUSwtCJEuELOstUypW3EF6DTehIs8rYE/U2zBIZqgZGOz2fRTSz1OF8TCPy6Ww2tyewTgBHzrXU=&amp;_app_id=central_doc_viewer&amp;center_on_screen=true&amp;width=950&amp;height=800&amp;_dd2=%26f%3Dsld%26c%3Dtrue%26os%3D134320%26oe%3D134325" TargetMode="External"/><Relationship Id="rId113" Type="http://schemas.openxmlformats.org/officeDocument/2006/relationships/hyperlink" Target="fdsup://factset/Doc%20Viewer%20Single?float_window=true&amp;positioning_strategy=center_on_screen&amp;_doc_docfn=U2FsdGVkX1/HyFzgaTT1H0hjwYbFPdzY6uOhKQNrd0iuujU+VsIDDOoAnt9jcJfvZhoycoHsxk6BKDL+7897sfJ/0rONuWi3znXjK/OfFFY=&amp;_app_id=central_doc_viewer&amp;center_on_screen=true&amp;width=950&amp;height=800&amp;_dd2=%26f%3Dsld%26c%3Dtrue%26os%3D177315%26oe%3D177318" TargetMode="External"/><Relationship Id="rId134" Type="http://schemas.openxmlformats.org/officeDocument/2006/relationships/hyperlink" Target="fdsup://factset/Doc%20Viewer%20Single?float_window=true&amp;positioning_strategy=center_on_screen&amp;_doc_docfn=U2FsdGVkX1/5WOdiEnEFMQ92sDoZ8dgwxiobF9xoSPi4D63CWyaF53pPyXUrvN3Kx56nFP7zEDJlM2RUa19/6VovW6auHnSBW5arZtO/hdk=&amp;_app_id=central_doc_viewer&amp;center_on_screen=true&amp;width=950&amp;height=800&amp;_dd2=%26f%3Dsld%26c%3Dtrue%26os%3D149654%26oe%3D149657" TargetMode="External"/><Relationship Id="rId320" Type="http://schemas.openxmlformats.org/officeDocument/2006/relationships/hyperlink" Target="fdsup://factset/Doc%20Viewer%20Single?float_window=true&amp;positioning_strategy=center_on_screen&amp;_doc_docfn=U2FsdGVkX19sFhbhHctL1+LdGtAb6P030ghD23MwiBkCS8UsTPhfO64NxUaSzpyDm2IEEfa/ZYZpqpwriMECxw+oiyjtI6kuYpqOW2/26ig=&amp;_app_id=central_doc_viewer&amp;center_on_screen=true&amp;width=950&amp;height=800&amp;_dd2=%26f%3Dsld%26c%3Dtrue%26os%3D197254%26oe%3D197261" TargetMode="External"/><Relationship Id="rId80" Type="http://schemas.openxmlformats.org/officeDocument/2006/relationships/hyperlink" Target="fdsup://factset/Doc%20Viewer%20Single?float_window=true&amp;positioning_strategy=center_on_screen&amp;_doc_docfn=U2FsdGVkX18jboV0MIsXQRI8Sn1amtYxYn60GPQ9TaT7RJ+ayRbozmj0bIlcG+0TV8NrWEWzmhKi4emwKvxiaRch4BtOGK2PDiTuYdXBINE=&amp;_app_id=central_doc_viewer&amp;center_on_screen=true&amp;width=950&amp;height=800&amp;_dd2=%26f%3Dsld%26c%3Dtrue%26os%3D173655%26oe%3D173658" TargetMode="External"/><Relationship Id="rId155" Type="http://schemas.openxmlformats.org/officeDocument/2006/relationships/hyperlink" Target="fdsup://factset/Doc%20Viewer%20Single?float_window=true&amp;positioning_strategy=center_on_screen&amp;_doc_docfn=U2FsdGVkX19sym2UIpCOuh27CeUpswjQuU32QfX9W0Fynu0NObS2YuMKFBDVh7HPyOUTISgdc464u8pHvc1iaoZYnXCbLHr5ZvxlovD/J0U=&amp;_app_id=central_doc_viewer&amp;center_on_screen=true&amp;width=950&amp;height=800&amp;_dd2=%26f%3Dsld%26c%3Dtrue%26os%3D150976%26oe%3D150984" TargetMode="External"/><Relationship Id="rId176" Type="http://schemas.openxmlformats.org/officeDocument/2006/relationships/hyperlink" Target="fdsup://factset/Doc%20Viewer%20Single?float_window=true&amp;positioning_strategy=center_on_screen&amp;_doc_docfn=U2FsdGVkX18lMjk+YB4aVey7DKlY3k+4G1kePhtdGADcXg3xJTf3LJfwLRV/b4fP55Ls5uy2ItLnRlVBGH/Nm8oIVb+/be9SrpxJAdZTGMs=&amp;_app_id=central_doc_viewer&amp;center_on_screen=true&amp;width=950&amp;height=800&amp;_dd2=%26f%3Dsld%26c%3Dtrue%26os%3D381079%26oe%3D381081" TargetMode="External"/><Relationship Id="rId197" Type="http://schemas.openxmlformats.org/officeDocument/2006/relationships/hyperlink" Target="fdsup://factset/Doc%20Viewer%20Single?float_window=true&amp;positioning_strategy=center_on_screen&amp;_doc_docfn=U2FsdGVkX1+LmO59Oq80OD7Yx0IiZCcD2E2KBpUOBCJcz0Y4NOcG7IcfMK7zEtyGXk1dgSekKyVIkZXqq1BOrZP+7bPuwuXXFD0kfw0nUoI=&amp;_app_id=central_doc_viewer&amp;center_on_screen=true&amp;width=950&amp;height=800&amp;_dd2=%26f%3Dsld%26c%3Dtrue%26os%3D236939%26oe%3D236946" TargetMode="External"/><Relationship Id="rId341" Type="http://schemas.openxmlformats.org/officeDocument/2006/relationships/hyperlink" Target="fdsup://factset/Doc%20Viewer%20Single?float_window=true&amp;positioning_strategy=center_on_screen&amp;_doc_docfn=U2FsdGVkX1/oceCheyhuUE5BPGySijS4O/SUMFyMZMkNPVklzRcQhdpWRot7vE1OW8e+7WAbxMpazNipu3a4y5j3P4jEiqYyVi61gko3T4U=&amp;_app_id=central_doc_viewer&amp;center_on_screen=true&amp;width=950&amp;height=800&amp;_dd2=%26f%3Dsld%26c%3Dtrue%26os%3D170488%26oe%3D170494" TargetMode="External"/><Relationship Id="rId201" Type="http://schemas.openxmlformats.org/officeDocument/2006/relationships/hyperlink" Target="fdsup://factset/Doc%20Viewer%20Single?float_window=true&amp;positioning_strategy=center_on_screen&amp;_doc_docfn=U2FsdGVkX1+N3Zg2Oi/YwjnCWP4lK8ahFMDSBb9qGkY1klWAP88U7ZJnzIipwUGWHsPpWjZacKRnum4HqptR5n+v7ePcciqVWLObMcTyclA=&amp;_app_id=central_doc_viewer&amp;center_on_screen=true&amp;width=950&amp;height=800&amp;_dd2=%26f%3Dsld%26c%3Dtrue%26os%3D413384%26oe%3D413391" TargetMode="External"/><Relationship Id="rId222" Type="http://schemas.openxmlformats.org/officeDocument/2006/relationships/hyperlink" Target="fdsup://factset/Doc%20Viewer%20Single?float_window=true&amp;positioning_strategy=center_on_screen&amp;_doc_docfn=U2FsdGVkX1+gkpKeK0f5P27aYM/T1qZ43ihMZ83PDNu/dCMOdEOgc9lT/TfXBqfz5PPzCATloSCOZ6B2mkNzrIageEnhXozbiqk3nn4qugg=&amp;_app_id=central_doc_viewer&amp;center_on_screen=true&amp;width=950&amp;height=800&amp;_dd2=%26f%3Dsld%26c%3Dtrue%26os%3D157559%26oe%3D157560" TargetMode="External"/><Relationship Id="rId243" Type="http://schemas.openxmlformats.org/officeDocument/2006/relationships/hyperlink" Target="fdsup://factset/Doc%20Viewer%20Single?float_window=true&amp;positioning_strategy=center_on_screen&amp;_doc_docfn=U2FsdGVkX1/74m/vW8qGS+g3ROsK1Ta6YdayZ/PgNA4b9yj4qGmX4bIzZOWrZbX/2VgYVZv6hCW9DHcrBtSUMVcCr8iYWe22fo2EGOb1wUQ=&amp;_app_id=central_doc_viewer&amp;center_on_screen=true&amp;width=950&amp;height=800&amp;_dd2=%26f%3Dsld%26c%3Dtrue%26os%3D447985%26oe%3D447992" TargetMode="External"/><Relationship Id="rId264" Type="http://schemas.openxmlformats.org/officeDocument/2006/relationships/hyperlink" Target="fdsup://factset/Doc%20Viewer%20Single?float_window=true&amp;positioning_strategy=center_on_screen&amp;_doc_docfn=U2FsdGVkX1/S/n0PexxMFrlUdy9SwGQSKfqd/4uBPlYux8ldVrdOGUpWmSr813iyYvv28aZzwwWSFEkyk9jeQYqSRrcvjt2V3URSZs2j6hs=&amp;_app_id=central_doc_viewer&amp;center_on_screen=true&amp;width=950&amp;height=800&amp;_dd2=%26f%3Dsld%26c%3Dtrue%26os%3D436933%26oe%3D436937" TargetMode="External"/><Relationship Id="rId285" Type="http://schemas.openxmlformats.org/officeDocument/2006/relationships/hyperlink" Target="fdsup://factset/Doc%20Viewer%20Single?float_window=true&amp;positioning_strategy=center_on_screen&amp;_doc_docfn=U2FsdGVkX1+2XEulmjsuKHbgRMJAHdcAsMM+e8zCBg2vD0Wh3vN1LfJYchPnJACUqr8NykYAlFwdGyUkwUdpKpRnwRjJRCco6C9b0edbGJg=&amp;_app_id=central_doc_viewer&amp;center_on_screen=true&amp;width=950&amp;height=800&amp;_dd2=%26f%3Dsld%26c%3Dtrue%26os%3D242353%26oe%3D242359" TargetMode="External"/><Relationship Id="rId17" Type="http://schemas.openxmlformats.org/officeDocument/2006/relationships/hyperlink" Target="fdsup://factset/Doc%20Viewer%20Single?float_window=true&amp;positioning_strategy=center_on_screen&amp;_doc_docfn=U2FsdGVkX1+Pu4fK96gSlxwYb0fJ0EZn0uaVYlDamq9pdZp5IREdl04CAbsQV/Q36uO1rXMgDMXLF5JYyfuC508Du+hhjvqywp7nwMQR5XM=&amp;_app_id=central_doc_viewer&amp;center_on_screen=true&amp;width=950&amp;height=800&amp;_dd2=%26f%3Dsld%26c%3Dtrue%26os%3D222986%26oe%3D222994" TargetMode="External"/><Relationship Id="rId38" Type="http://schemas.openxmlformats.org/officeDocument/2006/relationships/hyperlink" Target="fdsup://factset/Doc%20Viewer%20Single?float_window=true&amp;positioning_strategy=center_on_screen&amp;_doc_docfn=U2FsdGVkX1/QSygTfoNIa40MMe/8V9ZBc0msYJBeq/HXBJKC5XoibVuh1X2YzSrL6hfCvWwaJJhPwHKhOdhVH/QWBsPVN06iX7VF/Pq48Ts=&amp;_app_id=central_doc_viewer&amp;center_on_screen=true&amp;width=950&amp;height=800&amp;_dd2=%26f%3Dsld%26c%3Dtrue%26os%3D223549%26oe%3D223552" TargetMode="External"/><Relationship Id="rId59" Type="http://schemas.openxmlformats.org/officeDocument/2006/relationships/hyperlink" Target="fdsup://factset/Doc%20Viewer%20Single?float_window=true&amp;positioning_strategy=center_on_screen&amp;_doc_docfn=U2FsdGVkX1/KBjSh66inQTeHrmv802mJU7VRBB4htgxgkZSuKUhNsFAGyOO4AseqsnegRJ10bhP83esqixpbixgaS+5StYEKIWpqbmILNUc=&amp;_app_id=central_doc_viewer&amp;center_on_screen=true&amp;width=950&amp;height=800&amp;_dd2=%26f%3Dsld%26c%3Dtrue%26os%3D225034%26oe%3D225041" TargetMode="External"/><Relationship Id="rId103" Type="http://schemas.openxmlformats.org/officeDocument/2006/relationships/hyperlink" Target="fdsup://factset/Doc%20Viewer%20Single?float_window=true&amp;positioning_strategy=center_on_screen&amp;_doc_docfn=U2FsdGVkX184lEHmn7ro5wCw9ejng+c7tvrQqbdphYSGLFWtdKn6CoGjbgIolTZtgkMA85mgKJzYNEqU6tW4Hjufa2P8+EfwwPTIJ1w+jHg=&amp;_app_id=central_doc_viewer&amp;center_on_screen=true&amp;width=950&amp;height=800&amp;_dd2=%26f%3Dsld%26c%3Dtrue%26os%3D176483%26oe%3D176486" TargetMode="External"/><Relationship Id="rId124" Type="http://schemas.openxmlformats.org/officeDocument/2006/relationships/hyperlink" Target="fdsup://factset/Doc%20Viewer%20Single?float_window=true&amp;positioning_strategy=center_on_screen&amp;_doc_docfn=U2FsdGVkX19vJYJuDDi2ZIhhpCV/hxUYOCeTZN2JXfqsz/1kyjn8K25Z+kfrQCDVM9HdG3SBfZRJ+7iPJPftbM2uj8Ykc++bkZQDYFbUev4=&amp;_app_id=central_doc_viewer&amp;center_on_screen=true&amp;width=950&amp;height=800&amp;_dd2=%26f%3Dsld%26c%3Dtrue%26os%3D148844%26oe%3D148849" TargetMode="External"/><Relationship Id="rId310" Type="http://schemas.openxmlformats.org/officeDocument/2006/relationships/hyperlink" Target="fdsup://factset/Doc%20Viewer%20Single?float_window=true&amp;positioning_strategy=center_on_screen&amp;_doc_docfn=U2FsdGVkX1+QJlhvRKn0rcTDIxGj5gLgkN4dLhUaTGUdyHo5FQpoUyMZT3r5Dvlu034C5pZBuv/mZYczYa3Yt9xk8Kk5z/VbQllMS7lL1LI=&amp;_app_id=central_doc_viewer&amp;center_on_screen=true&amp;width=950&amp;height=800&amp;_dd2=%26f%3Dsld%26c%3Dtrue%26os%3D260931%26oe%3D260935" TargetMode="External"/><Relationship Id="rId70" Type="http://schemas.openxmlformats.org/officeDocument/2006/relationships/hyperlink" Target="fdsup://factset/Doc%20Viewer%20Single?float_window=true&amp;positioning_strategy=center_on_screen&amp;_doc_docfn=U2FsdGVkX1/INMttrPdipp+5ucDcJPwxn3wZ2w9TjQlgw+R2VCsPgjJOtGSMpqsKZ/rS394aX5d5rW7bYCHofNZPGVXpCV/PCs+DF2UZdlk=&amp;_app_id=central_doc_viewer&amp;center_on_screen=true&amp;width=950&amp;height=800&amp;_dd2=%26f%3Dsld%26c%3Dtrue%26os%3D241186%26oe%3D241191" TargetMode="External"/><Relationship Id="rId91" Type="http://schemas.openxmlformats.org/officeDocument/2006/relationships/hyperlink" Target="fdsup://factset/Doc%20Viewer%20Single?float_window=true&amp;positioning_strategy=center_on_screen&amp;_doc_docfn=U2FsdGVkX1+ZDbN9jXBSV5zLfxducWRm3dOMsn0LZOe5YUY/6X/XIG2GdLrZKitTvSH/MTp40P8jQueIDXqjdKnB3HyOPP4jb5UX+s6KFDs=&amp;_app_id=central_doc_viewer&amp;center_on_screen=true&amp;width=950&amp;height=800&amp;_dd2=%26f%3Dsld%26c%3Dtrue%26os%3D227617%26oe%3D227624" TargetMode="External"/><Relationship Id="rId145" Type="http://schemas.openxmlformats.org/officeDocument/2006/relationships/hyperlink" Target="fdsup://factset/Doc%20Viewer%20Single?float_window=true&amp;positioning_strategy=center_on_screen&amp;_doc_docfn=U2FsdGVkX19SFj7lxgQ0GXiblKCQf+wX8pVgFhHtb20Ljh+lbTo0mSIzJmXI2W0gSwInpHdYE8qwW8RiocOw6/Xtofqs6DsFfGtIQNFBzbY=&amp;_app_id=central_doc_viewer&amp;center_on_screen=true&amp;width=950&amp;height=800&amp;_dd2=%26f%3Dsld%26c%3Dtrue%26os%3D140323%26oe%3D140326" TargetMode="External"/><Relationship Id="rId166" Type="http://schemas.openxmlformats.org/officeDocument/2006/relationships/hyperlink" Target="fdsup://factset/Doc%20Viewer%20Single?float_window=true&amp;positioning_strategy=center_on_screen&amp;_doc_docfn=U2FsdGVkX19HDhLxLvXD5i4FHfzDkjmIvnwXjuBBqakbqvNqd5yO213Kj6AvYQDUU95nZLaQjdc3QbHE/v3vfm6uZxrM0FvOdFMKxRwK9nw=&amp;_app_id=central_doc_viewer&amp;center_on_screen=true&amp;width=950&amp;height=800&amp;_dd2=%26f%3Dsld%26c%3Dtrue%26os%3D248668%26oe%3D248676" TargetMode="External"/><Relationship Id="rId187" Type="http://schemas.openxmlformats.org/officeDocument/2006/relationships/hyperlink" Target="fdsup://factset/Doc%20Viewer%20Single?float_window=true&amp;positioning_strategy=center_on_screen&amp;_doc_docfn=U2FsdGVkX18hAR1/In34Lgd1w/BtLP+OSzhx9fnK+S4ek/Xu0ERu8ewF4m7RmQDTKi2f1sVpVMPXLjRWedTFrYQaW8zeNTab60I8/FFIbOU=&amp;_app_id=central_doc_viewer&amp;center_on_screen=true&amp;width=950&amp;height=800&amp;_dd2=%26f%3Dsld%26c%3Dtrue%26os%3D236131%26oe%3D236140" TargetMode="External"/><Relationship Id="rId331" Type="http://schemas.openxmlformats.org/officeDocument/2006/relationships/hyperlink" Target="fdsup://factset/Doc%20Viewer%20Single?float_window=true&amp;positioning_strategy=center_on_screen&amp;_doc_docfn=U2FsdGVkX189HLXmbe7ERNVE10s5NlsvSBp2Q8l0KQXhvpXzp9JYVGe6vVJ9m9w9E58zx3EOlsWzipxi0iikh3pD6neQ8AP7bodCiDeliDY=&amp;_app_id=central_doc_viewer&amp;center_on_screen=true&amp;width=950&amp;height=800&amp;_dd2=%26f%3Dsld%26c%3Dtrue%26os%3D169744%26oe%3D169750" TargetMode="External"/><Relationship Id="rId352" Type="http://schemas.openxmlformats.org/officeDocument/2006/relationships/hyperlink" Target="fdsup://factset/Doc%20Viewer%20Single?float_window=true&amp;positioning_strategy=center_on_screen&amp;_doc_docfn=U2FsdGVkX18+x8PkBYD9CrPKU8UfvZweZQOD6tg/G14YvNPToppx/N3ZFg8JBIpxFt6ELpL1RNeUdzTIdwz7zwIEq0kiH7OXbeipmsA7lNo=&amp;_app_id=central_doc_viewer&amp;center_on_screen=true&amp;width=950&amp;height=800&amp;_dd2=%26f%3Dsld%26c%3Dtrue%26os%3D263936%26oe%3D263941" TargetMode="External"/><Relationship Id="rId1" Type="http://schemas.openxmlformats.org/officeDocument/2006/relationships/hyperlink" Target="fdsup://factset/Doc%20Viewer%20Single?float_window=true&amp;positioning_strategy=center_on_screen&amp;_doc_docfn=U2FsdGVkX1/40l6Aq3Gwl+902ZoAZ9AIAvytMEIUJhVB7g4bXQ7juv9hvFGehjz+ov58UzAoIl+nCZGsLVh1CWLCcaaJsWs8YvKdmqv3r/w=&amp;_app_id=central_doc_viewer&amp;center_on_screen=true&amp;width=950&amp;height=800&amp;_dd2=%26f%3Dsld%26c%3Dtrue%26os%3D400560%26oe%3D400566" TargetMode="External"/><Relationship Id="rId212" Type="http://schemas.openxmlformats.org/officeDocument/2006/relationships/hyperlink" Target="fdsup://factset/Doc%20Viewer%20Single?float_window=true&amp;positioning_strategy=center_on_screen&amp;_doc_docfn=U2FsdGVkX19sSgMnVSQXjTR1+803Gh5Pm5ri2xvQ++X1OAfikEvpI04WuUFGcUUQfHodIG9Qz2L4JsQwjRCvYwLVxqSelbUaFJUGD5kYMHk=&amp;_app_id=central_doc_viewer&amp;center_on_screen=true&amp;width=950&amp;height=800&amp;_dd2=%26f%3Dsld%26c%3Dtrue%26os%3D156709%26oe%3D156712" TargetMode="External"/><Relationship Id="rId233" Type="http://schemas.openxmlformats.org/officeDocument/2006/relationships/hyperlink" Target="fdsup://factset/Doc%20Viewer%20Single?float_window=true&amp;positioning_strategy=center_on_screen&amp;_doc_docfn=U2FsdGVkX18NDzHHDKiLln794U54Y0OTuduib8SRHYCB08iWPMUAXOn/KBkxFeB70kLZK3qf94+GnS9QONH67MeVmTH2FnlT8JGzEKC/LCU=&amp;_app_id=central_doc_viewer&amp;center_on_screen=true&amp;width=950&amp;height=800&amp;_dd2=%26f%3Dsld%26c%3Dtrue%26os%3D238025%26oe%3D238032" TargetMode="External"/><Relationship Id="rId254" Type="http://schemas.openxmlformats.org/officeDocument/2006/relationships/hyperlink" Target="fdsup://factset/Doc%20Viewer%20Single?float_window=true&amp;positioning_strategy=center_on_screen&amp;_doc_docfn=U2FsdGVkX1/KaqatO91Ge91gRlg+xYM/AYn0i/wo0TMMRrMjxSCkDwEJ/Z9M3+4Ryxbea5DtH1zEwe3cgM0HvtXJfBKVk3em51gGpULIxzk=&amp;_app_id=central_doc_viewer&amp;center_on_screen=true&amp;width=950&amp;height=800&amp;_dd2=%26f%3Dsld%26c%3Dtrue%26os%3D191530%26oe%3D191537" TargetMode="External"/><Relationship Id="rId28" Type="http://schemas.openxmlformats.org/officeDocument/2006/relationships/hyperlink" Target="fdsup://factset/Doc%20Viewer%20Single?float_window=true&amp;positioning_strategy=center_on_screen&amp;_doc_docfn=U2FsdGVkX1+Zf7bei7HFEyYKTOTvMu1L/r/4xG3LSMCN0gmfCnMSpk4SinKUzbqUKSteyOQqzewl2LFpZqBynNW1pjyLON2VSSJ0f6SuWGM=&amp;_app_id=central_doc_viewer&amp;center_on_screen=true&amp;width=950&amp;height=800&amp;_dd2=%26f%3Dsld%26c%3Dtrue%26os%3D222715%26oe%3D222721" TargetMode="External"/><Relationship Id="rId49" Type="http://schemas.openxmlformats.org/officeDocument/2006/relationships/hyperlink" Target="fdsup://factset/Doc%20Viewer%20Single?float_window=true&amp;positioning_strategy=center_on_screen&amp;_doc_docfn=U2FsdGVkX1+DAJjO/We8CRHDtOYPUD9F8rAZsKBkSQ56IqSX63AP/gMRrX3oBP2AMaFt8Yev9L2mDmHBuaySbZwsDU0RiAdFm3X7v3jVcJs=&amp;_app_id=central_doc_viewer&amp;center_on_screen=true&amp;width=950&amp;height=800&amp;_dd2=%26f%3Dsld%26c%3Dtrue%26os%3D366975%26oe%3D366980" TargetMode="External"/><Relationship Id="rId114" Type="http://schemas.openxmlformats.org/officeDocument/2006/relationships/hyperlink" Target="fdsup://factset/Doc%20Viewer%20Single?float_window=true&amp;positioning_strategy=center_on_screen&amp;_doc_docfn=U2FsdGVkX1+FtxFUfh8/fXm2JR+H4Q3rUqyzWojgQgcz+/5GteaZJrxlvkjmhwk10W53nF8tL0HkxEvZo90y+k+kAuGOijfj9FKkjziRtF4=&amp;_app_id=central_doc_viewer&amp;center_on_screen=true&amp;width=950&amp;height=800&amp;_dd2=%26f%3Dsld%26c%3Dtrue%26os%3D148034%26oe%3D148037" TargetMode="External"/><Relationship Id="rId275" Type="http://schemas.openxmlformats.org/officeDocument/2006/relationships/hyperlink" Target="fdsup://factset/Doc%20Viewer%20Single?float_window=true&amp;positioning_strategy=center_on_screen&amp;_doc_docfn=U2FsdGVkX1+MPvAUaaCW4A913Nz3KK0MwoLmoB6JV6TipO8HnEBeJZxQo+GJAfx7sFzXLz4bd/+qHEFE8JGDtYfmyho/XtN6QgTVv+7kcVw=&amp;_app_id=central_doc_viewer&amp;center_on_screen=true&amp;width=950&amp;height=800&amp;_dd2=%26f%3Dsld%26c%3Dtrue%26os%3D239024%26oe%3D239032" TargetMode="External"/><Relationship Id="rId296" Type="http://schemas.openxmlformats.org/officeDocument/2006/relationships/hyperlink" Target="fdsup://factset/Doc%20Viewer%20Single?float_window=true&amp;positioning_strategy=center_on_screen&amp;_doc_docfn=U2FsdGVkX19AB1T0tdOhYu2EcmYPm2CTDssobAj03mn9HMPyq5ZLfLxCpXF9TxM6DWQUFqGrju9FgNxckzS40w5OptUc1ip8kMJnURw0Lc4=&amp;_app_id=central_doc_viewer&amp;center_on_screen=true&amp;width=950&amp;height=800&amp;_dd2=%26f%3Dsld%26c%3Dtrue%26os%3D240560%26oe%3D240568" TargetMode="External"/><Relationship Id="rId300" Type="http://schemas.openxmlformats.org/officeDocument/2006/relationships/hyperlink" Target="fdsup://factset/Doc%20Viewer%20Single?float_window=true&amp;positioning_strategy=center_on_screen&amp;_doc_docfn=U2FsdGVkX1988sH/3V/+jmySgo/bBlecJ+PSbbghV/REcihTK7WultSCZS/YJI4cUynik/JOjjeZ8jgqx2LNlwKq2gJtaix735n8D0kL1Rc=&amp;_app_id=central_doc_viewer&amp;center_on_screen=true&amp;width=950&amp;height=800&amp;_dd2=%26f%3Dsld%26c%3Dtrue%26os%3D259316%26oe%3D259319" TargetMode="External"/><Relationship Id="rId60" Type="http://schemas.openxmlformats.org/officeDocument/2006/relationships/hyperlink" Target="fdsup://factset/Doc%20Viewer%20Single?float_window=true&amp;positioning_strategy=center_on_screen&amp;_doc_docfn=U2FsdGVkX19+o2awlcuHQHdxfEZnxkyGr0xT4EAThP+Z7uz/lXSjq+SWTNp5KlDSWBySxKAPZLrluJHuH5QHwCJqn16w9cxRXT19Wd0MFbE=&amp;_app_id=central_doc_viewer&amp;center_on_screen=true&amp;width=950&amp;height=800&amp;_dd2=%26f%3Dsld%26c%3Dtrue%26os%3D133559%26oe%3D133566" TargetMode="External"/><Relationship Id="rId81" Type="http://schemas.openxmlformats.org/officeDocument/2006/relationships/hyperlink" Target="fdsup://factset/Doc%20Viewer%20Single?float_window=true&amp;positioning_strategy=center_on_screen&amp;_doc_docfn=U2FsdGVkX1/cjJ/z2Pm3XwYMYRCY4cQbzZhj8sDBSjiMpwtoBDVo9GSsqe3LyllUztxtP8bnywVDaSgan3wBNwB0uhXM5Ih7XHjCa1Ea8PE=&amp;_app_id=central_doc_viewer&amp;center_on_screen=true&amp;width=950&amp;height=800&amp;_dd2=%26f%3Dsld%26c%3Dtrue%26os%3D144462%26oe%3D144465" TargetMode="External"/><Relationship Id="rId135" Type="http://schemas.openxmlformats.org/officeDocument/2006/relationships/hyperlink" Target="fdsup://factset/Doc%20Viewer%20Single?float_window=true&amp;positioning_strategy=center_on_screen&amp;_doc_docfn=U2FsdGVkX1+oJzDqtXh4T7kl1795PvTQQiGFJux512TU+m/gKVHO6h8ygIIZh8dUhioEh6fEv3cOImd/pxYwB9SMiUic7wW1ZxGA2b4wnPM=&amp;_app_id=central_doc_viewer&amp;center_on_screen=true&amp;width=950&amp;height=800&amp;_dd2=%26f%3Dsld%26c%3Dtrue%26os%3D139523%26oe%3D139526" TargetMode="External"/><Relationship Id="rId156" Type="http://schemas.openxmlformats.org/officeDocument/2006/relationships/hyperlink" Target="fdsup://factset/Doc%20Viewer%20Single?float_window=true&amp;positioning_strategy=center_on_screen&amp;_doc_docfn=U2FsdGVkX19O1KHcEGogWLXqu0Qks14LaF6zkldkiiNjUhZlDhKkXnWOiGQ2lN4IV6atys+hQbw0Q+tuM87MhFCudOdWr7cVwjqFBUrfUdE=&amp;_app_id=central_doc_viewer&amp;center_on_screen=true&amp;width=950&amp;height=800&amp;_dd2=%26f%3Dsld%26c%3Dtrue%26os%3D255060%26oe%3D255068" TargetMode="External"/><Relationship Id="rId177" Type="http://schemas.openxmlformats.org/officeDocument/2006/relationships/hyperlink" Target="fdsup://factset/Doc%20Viewer%20Single?float_window=true&amp;positioning_strategy=center_on_screen&amp;_doc_docfn=U2FsdGVkX1/HL5BVnCAbTr0r/aUdRXo2bZAZ6Yb0qSiy1UnQsmEmjd41xKMXctOYbv0QKv75uu2RJX0ccuUWnC1oIfp7f89yiNQX0XAQ1ro=&amp;_app_id=central_doc_viewer&amp;center_on_screen=true&amp;width=950&amp;height=800&amp;_dd2=%26f%3Dsld%26c%3Dtrue%26os%3D240197%26oe%3D240200" TargetMode="External"/><Relationship Id="rId198" Type="http://schemas.openxmlformats.org/officeDocument/2006/relationships/hyperlink" Target="fdsup://factset/Doc%20Viewer%20Single?float_window=true&amp;positioning_strategy=center_on_screen&amp;_doc_docfn=U2FsdGVkX19s4cuFv8XpwRkGapt/UhC9QwVeR7lxolsw4uiSGfhIMG7kCetxbAzjC78SivfUXaTdzzlPKXK4r7bdyxjT5Q6q3kaAiGVAako=&amp;_app_id=central_doc_viewer&amp;center_on_screen=true&amp;width=950&amp;height=800&amp;_dd2=%26f%3Dsld%26c%3Dtrue%26os%3D235591%26oe%3D235597" TargetMode="External"/><Relationship Id="rId321" Type="http://schemas.openxmlformats.org/officeDocument/2006/relationships/hyperlink" Target="fdsup://factset/Doc%20Viewer%20Single?float_window=true&amp;positioning_strategy=center_on_screen&amp;_doc_docfn=U2FsdGVkX18j+OOKBDFJROaxNmELYFZpDzyvMUeg8dfmTDDeR7Y7FmlNWOTyxLbx2XoByCgaOd+wVQxaFlQFMFgUUxeMt+Z3/gHs69D36Q8=&amp;_app_id=central_doc_viewer&amp;center_on_screen=true&amp;width=950&amp;height=800&amp;_dd2=%26f%3Dsld%26c%3Dtrue%26os%3D168917%26oe%3D168924" TargetMode="External"/><Relationship Id="rId342" Type="http://schemas.openxmlformats.org/officeDocument/2006/relationships/hyperlink" Target="fdsup://factset/Doc%20Viewer%20Single?float_window=true&amp;positioning_strategy=center_on_screen&amp;_doc_docfn=U2FsdGVkX189oeN1RS6Hb6NO2Tx8DxA+Q7ISM6+h0NZ/P+kqw+901EZ2czvj6Dvzhb54m0APqCgYKco06XHZLcDiN/oqzEpynjTPAUDeuwQ=&amp;_app_id=central_doc_viewer&amp;center_on_screen=true&amp;width=950&amp;height=800&amp;_dd2=%26f%3Dsld%26c%3Dtrue%26os%3D159648%26oe%3D159654" TargetMode="External"/><Relationship Id="rId202" Type="http://schemas.openxmlformats.org/officeDocument/2006/relationships/hyperlink" Target="fdsup://factset/Doc%20Viewer%20Single?float_window=true&amp;positioning_strategy=center_on_screen&amp;_doc_docfn=U2FsdGVkX1890xCwcjd2G+Ab6BO2iXdATtcvgZCaTjJq7ZiA65uUUds+FKj926/Iv//J8yM6d471kiVWO99e9Q42JzQEROus0XTMHV4tjoM=&amp;_app_id=central_doc_viewer&amp;center_on_screen=true&amp;width=950&amp;height=800&amp;_dd2=%26f%3Dsld%26c%3Dtrue%26os%3D185145%26oe%3D185152" TargetMode="External"/><Relationship Id="rId223" Type="http://schemas.openxmlformats.org/officeDocument/2006/relationships/hyperlink" Target="fdsup://factset/Doc%20Viewer%20Single?float_window=true&amp;positioning_strategy=center_on_screen&amp;_doc_docfn=U2FsdGVkX19mhF11Sh7Ppg4HU9rF28bPP6Hmpz3fJFQWQ6FnIRJFjmfXPtTF+1n0ZvDOes443EYiRtW0chUsJTp78eA6w3qaiDnMKUqXrfg=&amp;_app_id=central_doc_viewer&amp;center_on_screen=true&amp;width=950&amp;height=800&amp;_dd2=%26f%3Dsld%26c%3Dtrue%26os%3D147477%26oe%3D147478" TargetMode="External"/><Relationship Id="rId244" Type="http://schemas.openxmlformats.org/officeDocument/2006/relationships/hyperlink" Target="fdsup://factset/Doc%20Viewer%20Single?float_window=true&amp;positioning_strategy=center_on_screen&amp;_doc_docfn=U2FsdGVkX1+hv3sLFJRp5fjjXVTw2pvQbWg3mA0qCJnNqk/8b5moo67woScuLtG6UO8BtAbe7HSBb/P2vN7VAMSxjSrbmOgLKjT+fgR7vo8=&amp;_app_id=central_doc_viewer&amp;center_on_screen=true&amp;width=950&amp;height=800&amp;_dd2=%26f%3Dsld%26c%3Dtrue%26os%3D195533%26oe%3D195540" TargetMode="External"/><Relationship Id="rId18" Type="http://schemas.openxmlformats.org/officeDocument/2006/relationships/hyperlink" Target="fdsup://factset/Doc%20Viewer%20Single?float_window=true&amp;positioning_strategy=center_on_screen&amp;_doc_docfn=U2FsdGVkX1+qznSMB5/EYTaWq3G8eAgF4L0s3xtJMUUWW+Hd1w0+uv/zNOtE+0rlmRfXT71NnOOHHiA+XrvPMjIVPnHB/29vdL0zMk8jyMU=&amp;_app_id=central_doc_viewer&amp;center_on_screen=true&amp;width=950&amp;height=800&amp;_dd2=%26f%3Dsld%26c%3Dtrue%26os%3D221626%26oe%3D221632" TargetMode="External"/><Relationship Id="rId39" Type="http://schemas.openxmlformats.org/officeDocument/2006/relationships/hyperlink" Target="fdsup://factset/Doc%20Viewer%20Single?float_window=true&amp;positioning_strategy=center_on_screen&amp;_doc_docfn=U2FsdGVkX1/R1SCmcMYzD9hqW7QvDkK8UJTxAK0CrcEkBQBKpXQ+2CkUMlA9vVWyVjox86fukyzybH8LP994QWvWA8QqhBBjh7YVquNhnac=&amp;_app_id=central_doc_viewer&amp;center_on_screen=true&amp;width=950&amp;height=800&amp;_dd2=%26f%3Dsld%26c%3Dtrue%26os%3D364152%26oe%3D364157" TargetMode="External"/><Relationship Id="rId265" Type="http://schemas.openxmlformats.org/officeDocument/2006/relationships/hyperlink" Target="fdsup://factset/Doc%20Viewer%20Single?float_window=true&amp;positioning_strategy=center_on_screen&amp;_doc_docfn=U2FsdGVkX19x3gScwgJDgeG0Wm7DSefoPq0/Twk9JojVSaEj/lUZmr2JyS2ooALyeUhvDJsheDT4yZCU/FbduuwfCGvePc6HofBP91aF0fI=&amp;_app_id=central_doc_viewer&amp;center_on_screen=true&amp;width=950&amp;height=800&amp;_dd2=%26f%3Dsld%26c%3Dtrue%26os%3D192374%26oe%3D192375" TargetMode="External"/><Relationship Id="rId286" Type="http://schemas.openxmlformats.org/officeDocument/2006/relationships/hyperlink" Target="fdsup://factset/Doc%20Viewer%20Single?float_window=true&amp;positioning_strategy=center_on_screen&amp;_doc_docfn=U2FsdGVkX18dlKnezLOBODyBFpC/Q3vKWE8wunto4IyaL+6EnofCWD6Yf3pIsQGswuHq8fe4Y+h1tENkaBNpvw9KglNFKOR/ltL8xxJs54M=&amp;_app_id=central_doc_viewer&amp;center_on_screen=true&amp;width=950&amp;height=800&amp;_dd2=%26f%3Dsld%26c%3Dtrue%26os%3D239804%26oe%3D239810" TargetMode="External"/><Relationship Id="rId50" Type="http://schemas.openxmlformats.org/officeDocument/2006/relationships/hyperlink" Target="fdsup://factset/Doc%20Viewer%20Single?float_window=true&amp;positioning_strategy=center_on_screen&amp;_doc_docfn=U2FsdGVkX1/AMYPE03J3gcyx/D4Y4Di+itPOoP6v0YiQOsvg61r7fwUc7ecMXuvWTlLW8fvq4AJWxxqj0Rj8Fuja6Q+kGCDszfqLC9Hwyxw=&amp;_app_id=central_doc_viewer&amp;center_on_screen=true&amp;width=950&amp;height=800&amp;_dd2=%26f%3Dsld%26c%3Dtrue%26os%3D369467%26oe%3D369472" TargetMode="External"/><Relationship Id="rId104" Type="http://schemas.openxmlformats.org/officeDocument/2006/relationships/hyperlink" Target="fdsup://factset/Doc%20Viewer%20Single?float_window=true&amp;positioning_strategy=center_on_screen&amp;_doc_docfn=U2FsdGVkX1/zoGyLridbt0iHJGfFOaH3da+MbFauAdqoVqSYMHi3SBpvvSJLyQACRRr3Qw1vcSpog9KDwyQGzTTC9ru7mFR9+4cXzn/Ir6Q=&amp;_app_id=central_doc_viewer&amp;center_on_screen=true&amp;width=950&amp;height=800&amp;_dd2=%26f%3Dsld%26c%3Dtrue%26os%3D147234%26oe%3D147241" TargetMode="External"/><Relationship Id="rId125" Type="http://schemas.openxmlformats.org/officeDocument/2006/relationships/hyperlink" Target="fdsup://factset/Doc%20Viewer%20Single?float_window=true&amp;positioning_strategy=center_on_screen&amp;_doc_docfn=U2FsdGVkX1+5E7HufM4z0DHQ4rbESzAyxSmGe5aujcUCjqyEwYB5sz++EiaW5X9UXKETe/+c3cQUvAw1rrC9V9M0JYdXDRAFm0i+RaFOKME=&amp;_app_id=central_doc_viewer&amp;center_on_screen=true&amp;width=950&amp;height=800&amp;_dd2=%26f%3Dsld%26c%3Dtrue%26os%3D138713%26oe%3D138718" TargetMode="External"/><Relationship Id="rId146" Type="http://schemas.openxmlformats.org/officeDocument/2006/relationships/hyperlink" Target="fdsup://factset/Doc%20Viewer%20Single?float_window=true&amp;positioning_strategy=center_on_screen&amp;_doc_docfn=U2FsdGVkX1+48Su7hzPMVgwWd+lrY8Yvc+2TW2G6JOIjPZvna/wiPOPpql8XSdvblgA1xHdSyp/1YIufGNEN03DWV/tWzWY0KjIFGIBqPIw=&amp;_app_id=central_doc_viewer&amp;center_on_screen=true&amp;width=950&amp;height=800&amp;_dd2=%26f%3Dsld%26c%3Dtrue%26os%3D246764%26oe%3D246766" TargetMode="External"/><Relationship Id="rId167" Type="http://schemas.openxmlformats.org/officeDocument/2006/relationships/hyperlink" Target="fdsup://factset/Doc%20Viewer%20Single?float_window=true&amp;positioning_strategy=center_on_screen&amp;_doc_docfn=U2FsdGVkX18NYlOS7ulK+TuMPpIabtIC8sR41Uxrg7kuE5J4mCvZww8OH/mAG2vmnXGfIXTkERuRISkovACofPWwXFRctF/GLBdkySUN3+Q=&amp;_app_id=central_doc_viewer&amp;center_on_screen=true&amp;width=950&amp;height=800&amp;_dd2=%26f%3Dsld%26c%3Dtrue%26os%3D376223%26oe%3D376231" TargetMode="External"/><Relationship Id="rId188" Type="http://schemas.openxmlformats.org/officeDocument/2006/relationships/hyperlink" Target="fdsup://factset/Doc%20Viewer%20Single?float_window=true&amp;positioning_strategy=center_on_screen&amp;_doc_docfn=U2FsdGVkX1/i5/EExfWzCW7P5mDwy7RBj2IH5YJr27R9xb7DjFSBagPBErUg2qmTTXrDE5HIH9IH0V36jWhZ9ZK7U5jRk2hSmZaPNnprlMY=&amp;_app_id=central_doc_viewer&amp;center_on_screen=true&amp;width=950&amp;height=800&amp;_dd2=%26f%3Dsld%26c%3Dtrue%26os%3D234785%26oe%3D234793" TargetMode="External"/><Relationship Id="rId311" Type="http://schemas.openxmlformats.org/officeDocument/2006/relationships/hyperlink" Target="fdsup://factset/Doc%20Viewer%20Single?float_window=true&amp;positioning_strategy=center_on_screen&amp;_doc_docfn=U2FsdGVkX1+Tn8nEqKaQnHH8UL4cVZgZeixFX42zziCwtv4pdxN7HcdKiggkaK33M25RBIh2yxSrY15B3PHFtNdNfELImsZrWv4SkGeOq2A=&amp;_app_id=central_doc_viewer&amp;center_on_screen=true&amp;width=950&amp;height=800&amp;_dd2=%26f%3Dsld%26c%3Dtrue%26os%3D387750%26oe%3D387752" TargetMode="External"/><Relationship Id="rId332" Type="http://schemas.openxmlformats.org/officeDocument/2006/relationships/hyperlink" Target="fdsup://factset/Doc%20Viewer%20Single?float_window=true&amp;positioning_strategy=center_on_screen&amp;_doc_docfn=U2FsdGVkX1+G3WGEhFLEBMO20UpEqvydKKKigVG99cyw0/uJLSjWllmdEB7Wke5GBwELZT/7b/rNXkEQwBHE5NEio67QlIX0uTPzVm3U/bU=&amp;_app_id=central_doc_viewer&amp;center_on_screen=true&amp;width=950&amp;height=800&amp;_dd2=%26f%3Dsld%26c%3Dtrue%26os%3D158904%26oe%3D158910" TargetMode="External"/><Relationship Id="rId353" Type="http://schemas.openxmlformats.org/officeDocument/2006/relationships/hyperlink" Target="fdsup://factset/Doc%20Viewer%20Single?float_window=true&amp;positioning_strategy=center_on_screen&amp;_doc_docfn=U2FsdGVkX197IFFNzU7Fej7Jxhgu9pC0kQtoFUGSelmUtO03dtaSht1MDfwaizQrL8Va0ujAbo5zM/xvthlAoo0Oa5nZ1wwNMNjkAoxGwWo=&amp;_app_id=central_doc_viewer&amp;center_on_screen=true&amp;width=950&amp;height=800&amp;_dd2=%26f%3Dsld%26c%3Dtrue%26os%3D390740%26oe%3D390745" TargetMode="External"/><Relationship Id="rId71" Type="http://schemas.openxmlformats.org/officeDocument/2006/relationships/hyperlink" Target="fdsup://factset/Doc%20Viewer%20Single?float_window=true&amp;positioning_strategy=center_on_screen&amp;_doc_docfn=U2FsdGVkX18AJpFV2a4bSdSQExk+Fm8u6MCNlOKdV8lUkCVjLETNq2qyZlUG4hUn4Y8ZIWgAeE7jkcIl/01fz+fsWIoryQDqdyMrRSTXlTs=&amp;_app_id=central_doc_viewer&amp;center_on_screen=true&amp;width=950&amp;height=800&amp;_dd2=%26f%3Dsld%26c%3Dtrue%26os%3D368736%26oe%3D368741" TargetMode="External"/><Relationship Id="rId92" Type="http://schemas.openxmlformats.org/officeDocument/2006/relationships/hyperlink" Target="fdsup://factset/Doc%20Viewer%20Single?float_window=true&amp;positioning_strategy=center_on_screen&amp;_doc_docfn=U2FsdGVkX184MMirf7fRHP5Xt3qC9/SZ0v1pv4u3N1G32H4OXrZpebrtkH7PSKG9ikMulMJbzTDulm8yPRtp4PfuQ3fo4oh3xoltdjmIAfk=&amp;_app_id=central_doc_viewer&amp;center_on_screen=true&amp;width=950&amp;height=800&amp;_dd2=%26f%3Dsld%26c%3Dtrue%26os%3D384637%26oe%3D384642" TargetMode="External"/><Relationship Id="rId213" Type="http://schemas.openxmlformats.org/officeDocument/2006/relationships/hyperlink" Target="fdsup://factset/Doc%20Viewer%20Single?float_window=true&amp;positioning_strategy=center_on_screen&amp;_doc_docfn=U2FsdGVkX1+vkmKPD8vPiGJbeKIQM+N7NxPZNv+Iifd76Z13tu496F5sv3lyX84gzLA8i4W/M09Ia1juz/iIeaBTV33gWP8nYlthMdhRe0A=&amp;_app_id=central_doc_viewer&amp;center_on_screen=true&amp;width=950&amp;height=800&amp;_dd2=%26f%3Dsld%26c%3Dtrue%26os%3D146625%26oe%3D146630" TargetMode="External"/><Relationship Id="rId234" Type="http://schemas.openxmlformats.org/officeDocument/2006/relationships/hyperlink" Target="fdsup://factset/Doc%20Viewer%20Single?float_window=true&amp;positioning_strategy=center_on_screen&amp;_doc_docfn=U2FsdGVkX1/FWfQnkzpLXLIFyNXSqFxw5FzUh8Z8nP5JWE7qtWo7dXVi/ly8YrjzIYa+PmjVLJKGOv+QtOAsYXKT9Nie08DXg2jvxFT4X1Y=&amp;_app_id=central_doc_viewer&amp;center_on_screen=true&amp;width=950&amp;height=800&amp;_dd2=%26f%3Dsld%26c%3Dtrue%26os%3D235468%26oe%3D235473" TargetMode="External"/><Relationship Id="rId2" Type="http://schemas.openxmlformats.org/officeDocument/2006/relationships/hyperlink" Target="fdsup://factset/Doc%20Viewer%20Single?float_window=true&amp;positioning_strategy=center_on_screen&amp;_doc_docfn=U2FsdGVkX1+sy9Jv528IBBmnjymLc1dyJzVEBW1n2nBWI4oLbhqz8HebBg0xvHX9t7LDnOUYb1k2zWTRZCNcMrqDb+xy3NlnnSxKoVV0ipc=&amp;_app_id=central_doc_viewer&amp;center_on_screen=true&amp;width=950&amp;height=800&amp;_dd2=%26f%3Dsld%26c%3Dtrue%26os%3D180539%26oe%3D180545" TargetMode="External"/><Relationship Id="rId29" Type="http://schemas.openxmlformats.org/officeDocument/2006/relationships/hyperlink" Target="fdsup://factset/Doc%20Viewer%20Single?float_window=true&amp;positioning_strategy=center_on_screen&amp;_doc_docfn=U2FsdGVkX1/7LVeqOA6r3j7lDCdb1llKzBDEYZvqBdbfQ661id9tmk5fRI0I6bUNk5ianXXa8FsNVhl26BF3qAufHfBFoxVcfRgxHHZedF0=&amp;_app_id=central_doc_viewer&amp;center_on_screen=true&amp;width=950&amp;height=800&amp;_dd2=%26f%3Dsld%26c%3Dtrue%26os%3D221049%26oe%3D221055" TargetMode="External"/><Relationship Id="rId255" Type="http://schemas.openxmlformats.org/officeDocument/2006/relationships/hyperlink" Target="fdsup://factset/Doc%20Viewer%20Single?float_window=true&amp;positioning_strategy=center_on_screen&amp;_doc_docfn=U2FsdGVkX1+cUFueGS9E1/2SpK2GiIiEZ6OJz2C+ahEOZ/INdB5QHHXvQiHCcJMqG4+11xXZmsWfIK/9ubV13uWpAXA4g0hmsH0ZCRa5SBI=&amp;_app_id=central_doc_viewer&amp;center_on_screen=true&amp;width=950&amp;height=800&amp;_dd2=%26f%3Dsld%26c%3Dtrue%26os%3D162322%26oe%3D162329" TargetMode="External"/><Relationship Id="rId276" Type="http://schemas.openxmlformats.org/officeDocument/2006/relationships/hyperlink" Target="fdsup://factset/Doc%20Viewer%20Single?float_window=true&amp;positioning_strategy=center_on_screen&amp;_doc_docfn=U2FsdGVkX1+T2FHZZSRcFjtlLOJNKro659cbKxGh+igQZI0ngCJXsIgaLu68jwGJfR/K2GuVyl0PjYRPL+ZQyax+6nPhBG+/zyNktSj9ZfY=&amp;_app_id=central_doc_viewer&amp;center_on_screen=true&amp;width=950&amp;height=800&amp;_dd2=%26f%3Dsld%26c%3Dtrue%26os%3D241592%26oe%3D241600" TargetMode="External"/><Relationship Id="rId297" Type="http://schemas.openxmlformats.org/officeDocument/2006/relationships/hyperlink" Target="fdsup://factset/Doc%20Viewer%20Single?float_window=true&amp;positioning_strategy=center_on_screen&amp;_doc_docfn=U2FsdGVkX188jjy4ovT6hFw5c0vuK6kB5Uj4VzgUmPCTwV9bJZ0raGlA9IG+YCp/n9sVDJXXIq9mgVqEUpJTwp7pO2QxMcUpZinQH5N3owY=&amp;_app_id=central_doc_viewer&amp;center_on_screen=true&amp;width=950&amp;height=800&amp;_dd2=%26f%3Dsld%26c%3Dtrue%26os%3D243800%26oe%3D243808" TargetMode="External"/><Relationship Id="rId40" Type="http://schemas.openxmlformats.org/officeDocument/2006/relationships/hyperlink" Target="fdsup://factset/Doc%20Viewer%20Single?float_window=true&amp;positioning_strategy=center_on_screen&amp;_doc_docfn=U2FsdGVkX19QP2CmyaTubbxzQn0y1STB1NzjdD2jZlfYuvPl4P0tSdKXvYn7RthsDiNWvynPfc4kZQGZAzUJUmeEc+KUzcZwiN2wL9McFTc=&amp;_app_id=central_doc_viewer&amp;center_on_screen=true&amp;width=950&amp;height=800&amp;_dd2=%26f%3Dsld%26c%3Dtrue%26os%3D170391%26oe%3D170396" TargetMode="External"/><Relationship Id="rId115" Type="http://schemas.openxmlformats.org/officeDocument/2006/relationships/hyperlink" Target="fdsup://factset/Doc%20Viewer%20Single?float_window=true&amp;positioning_strategy=center_on_screen&amp;_doc_docfn=U2FsdGVkX1+NaW05lfjAAXBPGHxr/T50UCqgb7bHbB6pZMCg/N7QdVpx5GKXYVWc3uYKGAq5/0xKCPzYbhP/YSL7gqxOZXjhseo2lM9Brjs=&amp;_app_id=central_doc_viewer&amp;center_on_screen=true&amp;width=950&amp;height=800&amp;_dd2=%26f%3Dsld%26c%3Dtrue%26os%3D137901%26oe%3D137906" TargetMode="External"/><Relationship Id="rId136" Type="http://schemas.openxmlformats.org/officeDocument/2006/relationships/hyperlink" Target="fdsup://factset/Doc%20Viewer%20Single?float_window=true&amp;positioning_strategy=center_on_screen&amp;_doc_docfn=U2FsdGVkX1+qgz4aA7OVqKrZ6m7pn/0ycDV3EmGs5ntOlqiOXpM79n17u96SqpSR1G4adVeUkaDyHOeEYcXU5KrEHAvsnMi+oCA/GZT3Tnk=&amp;_app_id=central_doc_viewer&amp;center_on_screen=true&amp;width=950&amp;height=800&amp;_dd2=%26f%3Dsld%26c%3Dtrue%26os%3D246019%26oe%3D246024" TargetMode="External"/><Relationship Id="rId157" Type="http://schemas.openxmlformats.org/officeDocument/2006/relationships/hyperlink" Target="fdsup://factset/Doc%20Viewer%20Single?float_window=true&amp;positioning_strategy=center_on_screen&amp;_doc_docfn=U2FsdGVkX19AhQ23GnUPXSvOWzbZ7iwfPRaCCRbnvMGfKWCNH4WVZ5qXgMgJ9zaxFhqvPImTTeq3z8s8BClox27pw936ZJdKiX8j8WhAnH0=&amp;_app_id=central_doc_viewer&amp;center_on_screen=true&amp;width=950&amp;height=800&amp;_dd2=%26f%3Dsld%26c%3Dtrue%26os%3D381865%26oe%3D381873" TargetMode="External"/><Relationship Id="rId178" Type="http://schemas.openxmlformats.org/officeDocument/2006/relationships/hyperlink" Target="fdsup://factset/Doc%20Viewer%20Single?float_window=true&amp;positioning_strategy=center_on_screen&amp;_doc_docfn=U2FsdGVkX1+m4zV5V6s6qsXS2T/i9TenjYTsxqAaMY1dj6zQnbfPsBNXXRZB4MzE1WlHaHHGjvBRTjethjSd+JS9C2LOdx4vtl/zs+dJeXI=&amp;_app_id=central_doc_viewer&amp;center_on_screen=true&amp;width=950&amp;height=800&amp;_dd2=%26f%3Dsld%26c%3Dtrue%26os%3D238851%26oe%3D238856" TargetMode="External"/><Relationship Id="rId301" Type="http://schemas.openxmlformats.org/officeDocument/2006/relationships/hyperlink" Target="fdsup://factset/Doc%20Viewer%20Single?float_window=true&amp;positioning_strategy=center_on_screen&amp;_doc_docfn=U2FsdGVkX1/rbpbdLkpukHbZs/jraNxrbgZnINf6DjLPp3EAQr3fZUZuuQBkog+4FXRoozIdMuswRFhrAWDIrXBcRFIuQwSR+Sawth/cQzk=&amp;_app_id=central_doc_viewer&amp;center_on_screen=true&amp;width=950&amp;height=800&amp;_dd2=%26f%3Dsld%26c%3Dtrue%26os%3D386131%26oe%3D386136" TargetMode="External"/><Relationship Id="rId322" Type="http://schemas.openxmlformats.org/officeDocument/2006/relationships/hyperlink" Target="fdsup://factset/Doc%20Viewer%20Single?float_window=true&amp;positioning_strategy=center_on_screen&amp;_doc_docfn=U2FsdGVkX18ZJ6KhRJuwzKTCWZBhjh/xZJRBEhG7H19z22p/ZSCEdthxn3YMjOD6UA3roq8HcKk1z0ntDaelvHSt04+R1FLk2oJmuoPqpJ4=&amp;_app_id=central_doc_viewer&amp;center_on_screen=true&amp;width=950&amp;height=800&amp;_dd2=%26f%3Dsld%26c%3Dtrue%26os%3D158079%26oe%3D158084" TargetMode="External"/><Relationship Id="rId343" Type="http://schemas.openxmlformats.org/officeDocument/2006/relationships/hyperlink" Target="fdsup://factset/Doc%20Viewer%20Single?float_window=true&amp;positioning_strategy=center_on_screen&amp;_doc_docfn=U2FsdGVkX1/iDTVkmgU54beuCMaJYxbw3SBybvt8riPYnqYIrxI5zqEpOKKz73Krr6gcxDn6No4Dx5NiVQjBLffTRmRg2gH+qwIoc0DAP5E=&amp;_app_id=central_doc_viewer&amp;center_on_screen=true&amp;width=950&amp;height=800&amp;_dd2=%26f%3Dsld%26c%3Dtrue%26os%3D262810%26oe%3D262816" TargetMode="External"/><Relationship Id="rId61" Type="http://schemas.openxmlformats.org/officeDocument/2006/relationships/hyperlink" Target="fdsup://factset/Doc%20Viewer%20Single?float_window=true&amp;positioning_strategy=center_on_screen&amp;_doc_docfn=U2FsdGVkX1+wCrBH1fi/q7qEO1l2WneVZ/OpAMNPqLKcSclZ2RP+Un0jJr9rpUBE5oVANBYZlqzAOBn+/ZSCNtOfaFeI4k0zqyonhQA5cyg=&amp;_app_id=central_doc_viewer&amp;center_on_screen=true&amp;width=950&amp;height=800&amp;_dd2=%26f%3Dsld%26c%3Dtrue%26os%3D240474%26oe%3D240481" TargetMode="External"/><Relationship Id="rId82" Type="http://schemas.openxmlformats.org/officeDocument/2006/relationships/hyperlink" Target="fdsup://factset/Doc%20Viewer%20Single?float_window=true&amp;positioning_strategy=center_on_screen&amp;_doc_docfn=U2FsdGVkX1+L5aqNnqDHcIkPpqwaEKJzPGQO+56ahyeNRMoq+AlUr0a09Tw+KXcssbg+nGGiJSSjw08DOU1J7RGDg1GfomhTA3nRKIDSr5g=&amp;_app_id=central_doc_viewer&amp;center_on_screen=true&amp;width=950&amp;height=800&amp;_dd2=%26f%3Dsld%26c%3Dtrue%26os%3D382146%26oe%3D382153" TargetMode="External"/><Relationship Id="rId199" Type="http://schemas.openxmlformats.org/officeDocument/2006/relationships/hyperlink" Target="fdsup://factset/Doc%20Viewer%20Single?float_window=true&amp;positioning_strategy=center_on_screen&amp;_doc_docfn=U2FsdGVkX1/x31s306QWu9v+uQpVPk+3geiYKFHWqrEKnL3rUXG9/beS3M9TZ8DgxNhIyZcxdmlIiE14WFI9cacw9GnSb0zxa7QCoDv1KKQ=&amp;_app_id=central_doc_viewer&amp;center_on_screen=true&amp;width=950&amp;height=800&amp;_dd2=%26f%3Dsld%26c%3Dtrue%26os%3D233040%26oe%3D233046" TargetMode="External"/><Relationship Id="rId203" Type="http://schemas.openxmlformats.org/officeDocument/2006/relationships/hyperlink" Target="fdsup://factset/Doc%20Viewer%20Single?float_window=true&amp;positioning_strategy=center_on_screen&amp;_doc_docfn=U2FsdGVkX1+AKBADJDjjZmO2jCu2TEjN6i2fKHHFtR+5pwkTGKvOSTQ9PkkgWN3Ea9i+vgU9lhYhdYo+Pnrt0wnPvdg4c4voYDRB8JPvLnM=&amp;_app_id=central_doc_viewer&amp;center_on_screen=true&amp;width=950&amp;height=800&amp;_dd2=%26f%3Dsld%26c%3Dtrue%26os%3D155865%26oe%3D155872" TargetMode="External"/><Relationship Id="rId19" Type="http://schemas.openxmlformats.org/officeDocument/2006/relationships/hyperlink" Target="fdsup://factset/Doc%20Viewer%20Single?float_window=true&amp;positioning_strategy=center_on_screen&amp;_doc_docfn=U2FsdGVkX184Pe1QqKnZi+hfWzePG8bwbtocMLTjQ4hW0kaUwkT1BHNIxrVCy+mb4nz9K7Qe876508a/8BRAqQbBcgNsH2By8FpP7UEvzYs=&amp;_app_id=central_doc_viewer&amp;center_on_screen=true&amp;width=950&amp;height=800&amp;_dd2=%26f%3Dsld%26c%3Dtrue%26os%3D220026%26oe%3D220032" TargetMode="External"/><Relationship Id="rId224" Type="http://schemas.openxmlformats.org/officeDocument/2006/relationships/hyperlink" Target="fdsup://factset/Doc%20Viewer%20Single?float_window=true&amp;positioning_strategy=center_on_screen&amp;_doc_docfn=U2FsdGVkX1+DZ5gdsAu2b/lzBAO19baW7WRSDA1zv0tNJjiCneGncMeuoQZHqrKmjB9Ba4wz0xR/w39/WOm4dpi2OobCg9avWDRAhxiDj+Y=&amp;_app_id=central_doc_viewer&amp;center_on_screen=true&amp;width=950&amp;height=800&amp;_dd2=%26f%3Dsld%26c%3Dtrue%26os%3D418806%26oe%3D418809" TargetMode="External"/><Relationship Id="rId245" Type="http://schemas.openxmlformats.org/officeDocument/2006/relationships/hyperlink" Target="fdsup://factset/Doc%20Viewer%20Single?float_window=true&amp;positioning_strategy=center_on_screen&amp;_doc_docfn=U2FsdGVkX196PU4jaLrixA3ai7A/z9jW5HIBwWCPZIz0tRCMrD0DhfKODeGvXclH3MnCCo9Hrx9hc1ouI0V3uK/e9Oz5ak7exebvOQBO+Hw=&amp;_app_id=central_doc_viewer&amp;center_on_screen=true&amp;width=950&amp;height=800&amp;_dd2=%26f%3Dsld%26c%3Dtrue%26os%3D167198%26oe%3D167205" TargetMode="External"/><Relationship Id="rId266" Type="http://schemas.openxmlformats.org/officeDocument/2006/relationships/hyperlink" Target="fdsup://factset/Doc%20Viewer%20Single?float_window=true&amp;positioning_strategy=center_on_screen&amp;_doc_docfn=U2FsdGVkX189/qbkKyWBksS2CMLfWg2ZeXI5Er0+PDuL3EHuRjpW/eu0XxDrOpJMM9BQxXc9IarAgws27Qdsj6e/OTJbDhFUYxVxWysVtlU=&amp;_app_id=central_doc_viewer&amp;center_on_screen=true&amp;width=950&amp;height=800&amp;_dd2=%26f%3Dsld%26c%3Dtrue%26os%3D163166%26oe%3D163167" TargetMode="External"/><Relationship Id="rId287" Type="http://schemas.openxmlformats.org/officeDocument/2006/relationships/hyperlink" Target="fdsup://factset/Doc%20Viewer%20Single?float_window=true&amp;positioning_strategy=center_on_screen&amp;_doc_docfn=U2FsdGVkX1+b2nFwUa2kFfXazmhgf6RN/XPU2I+0BZt8ew2xvot418/moLOn1fhX4qpqEMoGEZV51cLsR9xs2MWasDJeDwlH/lwLGnKB2Dk=&amp;_app_id=central_doc_viewer&amp;center_on_screen=true&amp;width=950&amp;height=800&amp;_dd2=%26f%3Dsld%26c%3Dtrue%26os%3D243044%26oe%3D243050" TargetMode="External"/><Relationship Id="rId30" Type="http://schemas.openxmlformats.org/officeDocument/2006/relationships/hyperlink" Target="fdsup://factset/Doc%20Viewer%20Single?float_window=true&amp;positioning_strategy=center_on_screen&amp;_doc_docfn=U2FsdGVkX18V3MzzXtEQZ8JpUwBfg0Xc7Sl0+tB5JMoVBUFM+j5bm6K2uGUWMG7iArPVAsR6FGGQA6Io4sMrcNAaHDTQR8lHlq5H2dTua74=&amp;_app_id=central_doc_viewer&amp;center_on_screen=true&amp;width=950&amp;height=800&amp;_dd2=%26f%3Dsld%26c%3Dtrue%26os%3D223604%26oe%3D223610" TargetMode="External"/><Relationship Id="rId105" Type="http://schemas.openxmlformats.org/officeDocument/2006/relationships/hyperlink" Target="fdsup://factset/Doc%20Viewer%20Single?float_window=true&amp;positioning_strategy=center_on_screen&amp;_doc_docfn=U2FsdGVkX18sLy+GgK5rPHfinETxEODoqgqp+6DDnv5pT7Y9pf4eo1s5mYBp8+WmNwaesMEUjmFdLKBF/LpiYW8g9X28hGo3PemCYyjzokc=&amp;_app_id=central_doc_viewer&amp;center_on_screen=true&amp;width=950&amp;height=800&amp;_dd2=%26f%3Dsld%26c%3Dtrue%26os%3D137097%26oe%3D137104" TargetMode="External"/><Relationship Id="rId126" Type="http://schemas.openxmlformats.org/officeDocument/2006/relationships/hyperlink" Target="fdsup://factset/Doc%20Viewer%20Single?float_window=true&amp;positioning_strategy=center_on_screen&amp;_doc_docfn=U2FsdGVkX1/Zi04NnGvJdjgXjo4uRR78V/N1Ee0qlzvtUsfMFv/3VOcb3zWFffnXHmIjoFVMTMcSBl6pgLDASPHHUCS0FNsDV3OpYZSID/c=&amp;_app_id=central_doc_viewer&amp;center_on_screen=true&amp;width=950&amp;height=800&amp;_dd2=%26f%3Dsld%26c%3Dtrue%26os%3D245264%26oe%3D245269" TargetMode="External"/><Relationship Id="rId147" Type="http://schemas.openxmlformats.org/officeDocument/2006/relationships/hyperlink" Target="fdsup://factset/Doc%20Viewer%20Single?float_window=true&amp;positioning_strategy=center_on_screen&amp;_doc_docfn=U2FsdGVkX1/ubV+bTgvgFHlZYhtnZQyq/fVHPUFpPYPTT1DKIcbMEkPnJUQeQ4t6TD4Ot/r+Tw4xUtHuZx4wqSM4i0/wit4ePJVTnkpdGCI=&amp;_app_id=central_doc_viewer&amp;center_on_screen=true&amp;width=950&amp;height=800&amp;_dd2=%26f%3Dsld%26c%3Dtrue%26os%3D374320%26oe%3D374323" TargetMode="External"/><Relationship Id="rId168" Type="http://schemas.openxmlformats.org/officeDocument/2006/relationships/hyperlink" Target="fdsup://factset/Doc%20Viewer%20Single?float_window=true&amp;positioning_strategy=center_on_screen&amp;_doc_docfn=U2FsdGVkX19FZ/0WKQ6taT8a/olEW+FZtf4I61VO7pIH3ewvcNDM8HuRU8pVPDD5hhUTWzHkgrwxy6wE+nH3s2VbGuZd7RqqHqe8G9LJKR8=&amp;_app_id=central_doc_viewer&amp;center_on_screen=true&amp;width=950&amp;height=800&amp;_dd2=%26f%3Dsld%26c%3Dtrue%26os%3D235341%26oe%3D235349" TargetMode="External"/><Relationship Id="rId312" Type="http://schemas.openxmlformats.org/officeDocument/2006/relationships/hyperlink" Target="fdsup://factset/Doc%20Viewer%20Single?float_window=true&amp;positioning_strategy=center_on_screen&amp;_doc_docfn=U2FsdGVkX18WSBWGUtGCOmttHBPMArGgwvqXdc4FVEGZMqrIzVw8P4xGegeji5gKeHXv6RbKjKxIgTpCKRCNQ7Iekis4CTOaFM6D621b2c0=&amp;_app_id=central_doc_viewer&amp;center_on_screen=true&amp;width=950&amp;height=800&amp;_dd2=%26f%3Dsld%26c%3Dtrue%26os%3D246889%26oe%3D246894" TargetMode="External"/><Relationship Id="rId333" Type="http://schemas.openxmlformats.org/officeDocument/2006/relationships/hyperlink" Target="fdsup://factset/Doc%20Viewer%20Single?float_window=true&amp;positioning_strategy=center_on_screen&amp;_doc_docfn=U2FsdGVkX19CvDLxec2PjajWILeBmtGUFU7+X36cRroX7YM76XGYsZmiZvRD4aDCwSQs66BvAGlSGBgIcdj2tlzCDiQiRwRgJIei4thoWMY=&amp;_app_id=central_doc_viewer&amp;center_on_screen=true&amp;width=950&amp;height=800&amp;_dd2=%26f%3Dsld%26c%3Dtrue%26os%3D1549711%26oe%3D1549717" TargetMode="External"/><Relationship Id="rId354" Type="http://schemas.openxmlformats.org/officeDocument/2006/relationships/hyperlink" Target="fdsup://factset/Doc%20Viewer%20Single?float_window=true&amp;positioning_strategy=center_on_screen&amp;_doc_docfn=U2FsdGVkX1/9MEqL5n3m2Catd32dZOWXP6MWJuT7RcJvGifm6aHB84Sa35VKPR7Y4KFudU7Rt8V2Uul/4f5aXxyiQE/QcvT273jO6EdEsyM=&amp;_app_id=central_doc_viewer&amp;center_on_screen=true&amp;width=950&amp;height=800&amp;_dd2=%26f%3Dsld%26c%3Dtrue%26os%3D249899%26oe%3D249907" TargetMode="External"/><Relationship Id="rId51" Type="http://schemas.openxmlformats.org/officeDocument/2006/relationships/hyperlink" Target="fdsup://factset/Doc%20Viewer%20Single?float_window=true&amp;positioning_strategy=center_on_screen&amp;_doc_docfn=U2FsdGVkX1+qLnqCE/4yEbz/HKbAAkr56alaSN71mbg/vBBEGDWMluw6AvVPZnPMWPk29XMCZzHhI0CdsQBHecewv0KlhUn+s6anBXfKrDs=&amp;_app_id=central_doc_viewer&amp;center_on_screen=true&amp;width=950&amp;height=800&amp;_dd2=%26f%3Dsld%26c%3Dtrue%26os%3D171164%26oe%3D171168" TargetMode="External"/><Relationship Id="rId72" Type="http://schemas.openxmlformats.org/officeDocument/2006/relationships/hyperlink" Target="fdsup://factset/Doc%20Viewer%20Single?float_window=true&amp;positioning_strategy=center_on_screen&amp;_doc_docfn=U2FsdGVkX19GIU0DE4d34v0NNua05NtY524SgdJrpw2m5zDaSaWdiMr94pOY/OSBhUecU+dq2f1awI4CmDcJMEP2Hgfia4GksaDmwHMYQBU=&amp;_app_id=central_doc_viewer&amp;center_on_screen=true&amp;width=950&amp;height=800&amp;_dd2=%26f%3Dsld%26c%3Dtrue%26os%3D227856%26oe%3D227861" TargetMode="External"/><Relationship Id="rId93" Type="http://schemas.openxmlformats.org/officeDocument/2006/relationships/hyperlink" Target="fdsup://factset/Doc%20Viewer%20Single?float_window=true&amp;positioning_strategy=center_on_screen&amp;_doc_docfn=U2FsdGVkX1951W9pF4nnu5IARG1KNnehKK4d4Ve5CN+whDPG2zO9cVqsNB3CBsRlCd2kuJPyXfKm77HZkpEqjJZAm0rou+sHdD2dhNEc3/4=&amp;_app_id=central_doc_viewer&amp;center_on_screen=true&amp;width=950&amp;height=800&amp;_dd2=%26f%3Dsld%26c%3Dtrue%26os%3D175642%26oe%3D175647" TargetMode="External"/><Relationship Id="rId189" Type="http://schemas.openxmlformats.org/officeDocument/2006/relationships/hyperlink" Target="fdsup://factset/Doc%20Viewer%20Single?float_window=true&amp;positioning_strategy=center_on_screen&amp;_doc_docfn=U2FsdGVkX18lP9zD+rOdVi9VyxItl/0+QmQfQ8VGu9NK3SIDeLk1y2Gp312CX5adQduksN082M4E5AdDv828VZa2gzrT3xDdphIvRkrlqG0=&amp;_app_id=central_doc_viewer&amp;center_on_screen=true&amp;width=950&amp;height=800&amp;_dd2=%26f%3Dsld%26c%3Dtrue%26os%3D232236%26oe%3D232244" TargetMode="External"/><Relationship Id="rId3" Type="http://schemas.openxmlformats.org/officeDocument/2006/relationships/hyperlink" Target="fdsup://factset/Doc%20Viewer%20Single?float_window=true&amp;positioning_strategy=center_on_screen&amp;_doc_docfn=U2FsdGVkX19gQo8do6fce2IbAiw95Boxp8vwvRCqBkGuLQ1U1mKYc21wyTVH83bswNQvvOgJsOidgKed8cvbnnxQURqEfr+WwDjs/QH1S+Y=&amp;_app_id=central_doc_viewer&amp;center_on_screen=true&amp;width=950&amp;height=800&amp;_dd2=%26f%3Dsld%26c%3Dtrue%26os%3D151259%26oe%3D151265" TargetMode="External"/><Relationship Id="rId214" Type="http://schemas.openxmlformats.org/officeDocument/2006/relationships/hyperlink" Target="fdsup://factset/Doc%20Viewer%20Single?float_window=true&amp;positioning_strategy=center_on_screen&amp;_doc_docfn=U2FsdGVkX1+4izjHb1+cb9tpykV68p0driZtL2OKdsaQnDS+OPnT/BeR2eQTh/8GIboWG7W+aKE1Lr0IRCSbCYvYayMo0cAEKLjTf5xCwPE=&amp;_app_id=central_doc_viewer&amp;center_on_screen=true&amp;width=950&amp;height=800&amp;_dd2=%26f%3Dsld%26c%3Dtrue%26os%3D251846%26oe%3D251849" TargetMode="External"/><Relationship Id="rId235" Type="http://schemas.openxmlformats.org/officeDocument/2006/relationships/hyperlink" Target="fdsup://factset/Doc%20Viewer%20Single?float_window=true&amp;positioning_strategy=center_on_screen&amp;_doc_docfn=U2FsdGVkX1/0PqQblfk+d5MmQ1p2ngXdXFXMv7oFgm9KLWDqrltaS8CQRcO9GLQsU+POACBAGTHSn2GjD6k6cfijL1WtLMyxr3QXaGgY9nA=&amp;_app_id=central_doc_viewer&amp;center_on_screen=true&amp;width=950&amp;height=800&amp;_dd2=%26f%3Dsld%26c%3Dtrue%26os%3D238032%26oe%3D238039" TargetMode="External"/><Relationship Id="rId256" Type="http://schemas.openxmlformats.org/officeDocument/2006/relationships/hyperlink" Target="fdsup://factset/Doc%20Viewer%20Single?float_window=true&amp;positioning_strategy=center_on_screen&amp;_doc_docfn=U2FsdGVkX1/2oBhgf/CINlDDPbgSv8fXPA6hBGk1pNDymD5XUtr9yVtN+FyNLYtb5YS+XUfY5ZIXddQCK54X2PRx2Yb5+0buSycfRd4M2W4=&amp;_app_id=central_doc_viewer&amp;center_on_screen=true&amp;width=950&amp;height=800&amp;_dd2=%26f%3Dsld%26c%3Dtrue%26os%3D152221%26oe%3D152228" TargetMode="External"/><Relationship Id="rId277" Type="http://schemas.openxmlformats.org/officeDocument/2006/relationships/hyperlink" Target="fdsup://factset/Doc%20Viewer%20Single?float_window=true&amp;positioning_strategy=center_on_screen&amp;_doc_docfn=U2FsdGVkX18XSmklgovSsJRQMKuFpNWQhRvsvTBSqckqID3q2JbfwT07/sS/XN0XybgvjnFEtqvzB4rRw5sIQxb130LXbjeGR5lijNVNuKk=&amp;_app_id=central_doc_viewer&amp;center_on_screen=true&amp;width=950&amp;height=800&amp;_dd2=%26f%3Dsld%26c%3Dtrue%26os%3D242329%26oe%3D242336" TargetMode="External"/><Relationship Id="rId298" Type="http://schemas.openxmlformats.org/officeDocument/2006/relationships/hyperlink" Target="fdsup://factset/Doc%20Viewer%20Single?float_window=true&amp;positioning_strategy=center_on_screen&amp;_doc_docfn=U2FsdGVkX18tLqkoNXlniD6CT+Ylv0QskbaUxdTMNamN5Vn8omzTuNNTGkcOTol3f8yGYU6Y3IWE6+SdfXUeBlQWlJ1LxJKuFBjLjE2X87s=&amp;_app_id=central_doc_viewer&amp;center_on_screen=true&amp;width=950&amp;height=800&amp;_dd2=%26f%3Dsld%26c%3Dtrue%26os%3D166404%26oe%3D166407" TargetMode="External"/><Relationship Id="rId116" Type="http://schemas.openxmlformats.org/officeDocument/2006/relationships/hyperlink" Target="fdsup://factset/Doc%20Viewer%20Single?float_window=true&amp;positioning_strategy=center_on_screen&amp;_doc_docfn=U2FsdGVkX18p4gSdiCinrtxLBjmsxVkMl5eZ5MXpGT6ZsAGFRuqOhq3LQ/LUR6eBoNcJl4hYpFacvZWnDnN1c16DWzhVBSQuDJ2aKZqC4i8=&amp;_app_id=central_doc_viewer&amp;center_on_screen=true&amp;width=950&amp;height=800&amp;_dd2=%26f%3Dsld%26c%3Dtrue%26os%3D244507%26oe%3D244510" TargetMode="External"/><Relationship Id="rId137" Type="http://schemas.openxmlformats.org/officeDocument/2006/relationships/hyperlink" Target="fdsup://factset/Doc%20Viewer%20Single?float_window=true&amp;positioning_strategy=center_on_screen&amp;_doc_docfn=U2FsdGVkX1+LJln3PntrShzUZ5JVSd6+ZvRsOiExg/v/KSwX1A8wSSPcRds4/67QsB0iX41pnSyTWCIr6ZLRii/0jHBhgZuT+nvQfEdBOow=&amp;_app_id=central_doc_viewer&amp;center_on_screen=true&amp;width=950&amp;height=800&amp;_dd2=%26f%3Dsld%26c%3Dtrue%26os%3D373571%26oe%3D373576" TargetMode="External"/><Relationship Id="rId158" Type="http://schemas.openxmlformats.org/officeDocument/2006/relationships/hyperlink" Target="fdsup://factset/Doc%20Viewer%20Single?float_window=true&amp;positioning_strategy=center_on_screen&amp;_doc_docfn=U2FsdGVkX19TF3gCLkWIsawdVP6rKboS98QDrlOa0uO18pYmukbnGwWyeCZp4VAnvHAAaqwFVq7EKHEGHQ/hLgGBxgonobtxQY/N6CXFIfE=&amp;_app_id=central_doc_viewer&amp;center_on_screen=true&amp;width=950&amp;height=800&amp;_dd2=%26f%3Dsld%26c%3Dtrue%26os%3D240984%26oe%3D240992" TargetMode="External"/><Relationship Id="rId302" Type="http://schemas.openxmlformats.org/officeDocument/2006/relationships/hyperlink" Target="fdsup://factset/Doc%20Viewer%20Single?float_window=true&amp;positioning_strategy=center_on_screen&amp;_doc_docfn=U2FsdGVkX1+HFO0ITVWRrkVnFtAy0GD/dZ877xR0bosjliNE+0pSA92dxDhWa8LHoGyVx4OgjvSpZ9SagpCJ2MfOOcWTFysxZByLcFxYOb8=&amp;_app_id=central_doc_viewer&amp;center_on_screen=true&amp;width=950&amp;height=800&amp;_dd2=%26f%3Dsld%26c%3Dtrue%26os%3D245268%26oe%3D245271" TargetMode="External"/><Relationship Id="rId323" Type="http://schemas.openxmlformats.org/officeDocument/2006/relationships/hyperlink" Target="fdsup://factset/Doc%20Viewer%20Single?float_window=true&amp;positioning_strategy=center_on_screen&amp;_doc_docfn=U2FsdGVkX1/W+pNmXuLgHc36Im6ZI/U4B7+tbMe/8jUBxVl09RK27tV9AGuOkZ2tu/cOJ/eIa7MxlPG1y+WM5SB8TatMMaRPeVl3HrjIB/U=&amp;_app_id=central_doc_viewer&amp;center_on_screen=true&amp;width=950&amp;height=800&amp;_dd2=%26f%3Dsld%26c%3Dtrue%26os%3D261877%26oe%3D261882" TargetMode="External"/><Relationship Id="rId344" Type="http://schemas.openxmlformats.org/officeDocument/2006/relationships/hyperlink" Target="fdsup://factset/Doc%20Viewer%20Single?float_window=true&amp;positioning_strategy=center_on_screen&amp;_doc_docfn=U2FsdGVkX1/vuG9WqDslWlihpxHQ3pQ0iHMDulrYLJh7bOAjdvsCF2+B2spDpFqqTu6bXqTUXtN+HBgsIK3kCmzDMQ/Mx4nuYhgAutUto+Y=&amp;_app_id=central_doc_viewer&amp;center_on_screen=true&amp;width=950&amp;height=800&amp;_dd2=%26f%3Dsld%26c%3Dtrue%26os%3D389614%26oe%3D389620" TargetMode="External"/><Relationship Id="rId20" Type="http://schemas.openxmlformats.org/officeDocument/2006/relationships/hyperlink" Target="fdsup://factset/Doc%20Viewer%20Single?float_window=true&amp;positioning_strategy=center_on_screen&amp;_doc_docfn=U2FsdGVkX19+sxM/fk4Jv6fKS4k1RaeWU3CB7QF2KFrGg4GkvItiLEEgdczIPul4W3WSfr6Vp5ns3P04Grkx1cQV4/cJmhVfDWp425plggg=&amp;_app_id=central_doc_viewer&amp;center_on_screen=true&amp;width=950&amp;height=800&amp;_dd2=%26f%3Dsld%26c%3Dtrue%26os%3D222580%26oe%3D222587" TargetMode="External"/><Relationship Id="rId41" Type="http://schemas.openxmlformats.org/officeDocument/2006/relationships/hyperlink" Target="fdsup://factset/Doc%20Viewer%20Single?float_window=true&amp;positioning_strategy=center_on_screen&amp;_doc_docfn=U2FsdGVkX19nAlSx0EUvrAy30lFQUEPK32RIT+1e3T2C7Kc0St9sTXt2NwD5mzDMCYn1EGC4QnQFyPWqRUxXF16Qa+LmNlbX1mhMWslp5nY=&amp;_app_id=central_doc_viewer&amp;center_on_screen=true&amp;width=950&amp;height=800&amp;_dd2=%26f%3Dsld%26c%3Dtrue%26os%3D142053%26oe%3D142058" TargetMode="External"/><Relationship Id="rId62" Type="http://schemas.openxmlformats.org/officeDocument/2006/relationships/hyperlink" Target="fdsup://factset/Doc%20Viewer%20Single?float_window=true&amp;positioning_strategy=center_on_screen&amp;_doc_docfn=U2FsdGVkX18rzq2BfjMkNQVV0oiFGYjbIe6qpXn5BU4IM43uTfBILVYX5jRLyq/CKK06G2xGX6tp6ygAyBDKxGotXZNn7WKXf8jIiuFZag0=&amp;_app_id=central_doc_viewer&amp;center_on_screen=true&amp;width=950&amp;height=800&amp;_dd2=%26f%3Dsld%26c%3Dtrue%26os%3D368016%26oe%3D368023" TargetMode="External"/><Relationship Id="rId83" Type="http://schemas.openxmlformats.org/officeDocument/2006/relationships/hyperlink" Target="fdsup://factset/Doc%20Viewer%20Single?float_window=true&amp;positioning_strategy=center_on_screen&amp;_doc_docfn=U2FsdGVkX19pKMXlFuFdBKDeIpQP+C56/pDfhrgnlHMbVPmP//a6KMjYswkYrlTOwan74jCQNSoGlpoq00tKAw9KleMHEKuOsVjhZ04XI+o=&amp;_app_id=central_doc_viewer&amp;center_on_screen=true&amp;width=950&amp;height=800&amp;_dd2=%26f%3Dsld%26c%3Dtrue%26os%3D174840%26oe%3D174847" TargetMode="External"/><Relationship Id="rId179" Type="http://schemas.openxmlformats.org/officeDocument/2006/relationships/hyperlink" Target="fdsup://factset/Doc%20Viewer%20Single?float_window=true&amp;positioning_strategy=center_on_screen&amp;_doc_docfn=U2FsdGVkX19oVKqOD3uNBzP/2r00u+IhkiehK0LAJ7hbzZnVN7EtKowkyKJmAriL0aWlqWmLGZbnAxnbOKk5N66Du+pRsxySCepvh6OYqBM=&amp;_app_id=central_doc_viewer&amp;center_on_screen=true&amp;width=950&amp;height=800&amp;_dd2=%26f%3Dsld%26c%3Dtrue%26os%3D236295%26oe%3D236302" TargetMode="External"/><Relationship Id="rId190" Type="http://schemas.openxmlformats.org/officeDocument/2006/relationships/hyperlink" Target="fdsup://factset/Doc%20Viewer%20Single?float_window=true&amp;positioning_strategy=center_on_screen&amp;_doc_docfn=U2FsdGVkX1+pQHkodIHRfhN9dcP5motA4CZPJGThGaCKP3YLftUhYM6MvZDfNTQDCoe3/fLrAe8E/W6QLU0WHdWFUBMLBsTrvXT+AFkPnCY=&amp;_app_id=central_doc_viewer&amp;center_on_screen=true&amp;width=950&amp;height=800&amp;_dd2=%26f%3Dsld%26c%3Dtrue%26os%3D234801%26oe%3D234809" TargetMode="External"/><Relationship Id="rId204" Type="http://schemas.openxmlformats.org/officeDocument/2006/relationships/hyperlink" Target="fdsup://factset/Doc%20Viewer%20Single?float_window=true&amp;positioning_strategy=center_on_screen&amp;_doc_docfn=U2FsdGVkX18XQDAK0aKtwaVqchEr3zM4GCPEgx95I+W/QxwcW8hyVNumFpVbGrnEqkO/55XtOzFGzlGy2ZoYg3OI3D7ilulWMqgvEOA9z14=&amp;_app_id=central_doc_viewer&amp;center_on_screen=true&amp;width=950&amp;height=800&amp;_dd2=%26f%3Dsld%26c%3Dtrue%26os%3D145780%26oe%3D145787" TargetMode="External"/><Relationship Id="rId225" Type="http://schemas.openxmlformats.org/officeDocument/2006/relationships/hyperlink" Target="fdsup://factset/Doc%20Viewer%20Single?float_window=true&amp;positioning_strategy=center_on_screen&amp;_doc_docfn=U2FsdGVkX1+hzz6BbFcqGJHvyQwopy9NwRlSTk1iYCaRKZCiB4E8VvqbOdd7kZBNRwQ5kSZxgIg4xMVBy4f/K79mVqEoYR5SzlfQpUvaRYk=&amp;_app_id=central_doc_viewer&amp;center_on_screen=true&amp;width=950&amp;height=800&amp;_dd2=%26f%3Dsld%26c%3Dtrue%26os%3D187721%26oe%3D187724" TargetMode="External"/><Relationship Id="rId246" Type="http://schemas.openxmlformats.org/officeDocument/2006/relationships/hyperlink" Target="fdsup://factset/Doc%20Viewer%20Single?float_window=true&amp;positioning_strategy=center_on_screen&amp;_doc_docfn=U2FsdGVkX1+QJxk3Rz+R7GF84/CIrvjEMrxYeNIcIBxd8K7M6ssV7FCeg5EfICuW/SP2yVVFka7/AUs0dtysTg6ejiOCgMN+O0p++vn8Ht0=&amp;_app_id=central_doc_viewer&amp;center_on_screen=true&amp;width=950&amp;height=800&amp;_dd2=%26f%3Dsld%26c%3Dtrue%26os%3D156348%26oe%3D156356" TargetMode="External"/><Relationship Id="rId267" Type="http://schemas.openxmlformats.org/officeDocument/2006/relationships/hyperlink" Target="fdsup://factset/Doc%20Viewer%20Single?float_window=true&amp;positioning_strategy=center_on_screen&amp;_doc_docfn=U2FsdGVkX19g9B2C6yOs6Q+5wVTbzVtZirI4eHeNPYqOvtPbbdwJCFaEjig9sF9B29r6zR9zvyC60rI6SAQcPHDTJ/ZGn32Cc5ocK5hkRFk=&amp;_app_id=central_doc_viewer&amp;center_on_screen=true&amp;width=950&amp;height=800&amp;_dd2=%26f%3Dsld%26c%3Dtrue%26os%3D439662%26oe%3D439669" TargetMode="External"/><Relationship Id="rId288" Type="http://schemas.openxmlformats.org/officeDocument/2006/relationships/hyperlink" Target="fdsup://factset/Doc%20Viewer%20Single?float_window=true&amp;positioning_strategy=center_on_screen&amp;_doc_docfn=U2FsdGVkX19H/aJ/au8MUKqW7eSZKurSlTDUv+CGWBNctK3wn0WbbpLDD2y9I+VupqNMF9hMnrGxRYjx+8+DMXdLlPvYRPamRcFiW9nVnFc=&amp;_app_id=central_doc_viewer&amp;center_on_screen=true&amp;width=950&amp;height=800&amp;_dd2=%26f%3Dsld%26c%3Dtrue%26os%3D444933%26oe%3D444941" TargetMode="External"/><Relationship Id="rId106" Type="http://schemas.openxmlformats.org/officeDocument/2006/relationships/hyperlink" Target="fdsup://factset/Doc%20Viewer%20Single?float_window=true&amp;positioning_strategy=center_on_screen&amp;_doc_docfn=U2FsdGVkX19AJYAFTekAMghaDSe574jlmH7FYTJQ/idZjIn5bQ4H52IdAN7nVRDSvEuesO4KExMsYrNktZYxysuzaUIMwCXhlSBNBNarU3o=&amp;_app_id=central_doc_viewer&amp;center_on_screen=true&amp;width=950&amp;height=800&amp;_dd2=%26f%3Dsld%26c%3Dtrue%26os%3D243757%26oe%3D243762" TargetMode="External"/><Relationship Id="rId127" Type="http://schemas.openxmlformats.org/officeDocument/2006/relationships/hyperlink" Target="fdsup://factset/Doc%20Viewer%20Single?float_window=true&amp;positioning_strategy=center_on_screen&amp;_doc_docfn=U2FsdGVkX1+oQjYHQFJ04VqAXxJLe1Eud5tC6KWI31cC2BTMTfPVU4nscdqJSfeIeG4JrmAhitkDA+Q561OTGfoje5oRajPPjjkeWj9IV2o=&amp;_app_id=central_doc_viewer&amp;center_on_screen=true&amp;width=950&amp;height=800&amp;_dd2=%26f%3Dsld%26c%3Dtrue%26os%3D372816%26oe%3D372821" TargetMode="External"/><Relationship Id="rId313" Type="http://schemas.openxmlformats.org/officeDocument/2006/relationships/hyperlink" Target="fdsup://factset/Doc%20Viewer%20Single?float_window=true&amp;positioning_strategy=center_on_screen&amp;_doc_docfn=U2FsdGVkX1+neySAvkNRQ4hcusYHMmjQX772hLFlpbG5OhjGnQrcNn6YFBhlumzW87wLPc9LHIUMNwclDKtGsjlrGcjFRfZb/k/qzbnq1RI=&amp;_app_id=central_doc_viewer&amp;center_on_screen=true&amp;width=950&amp;height=800&amp;_dd2=%26f%3Dsld%26c%3Dtrue%26os%3D245534%26oe%3D245539" TargetMode="External"/><Relationship Id="rId10" Type="http://schemas.openxmlformats.org/officeDocument/2006/relationships/hyperlink" Target="fdsup://factset/Doc%20Viewer%20Single?float_window=true&amp;positioning_strategy=center_on_screen&amp;_doc_docfn=U2FsdGVkX19E/cGyfsxkaqQcTP1LexvfltId6XtkGizJ0Eac431nmCFXctE6M2YrXGOP11hqwI4d45AYYI7oAj8rF21z1sH8nQIA1jrLKeg=&amp;_app_id=central_doc_viewer&amp;center_on_screen=true&amp;width=950&amp;height=800&amp;_dd2=%26f%3Dsld%26c%3Dtrue%26os%3D232897%26oe%3D232904" TargetMode="External"/><Relationship Id="rId31" Type="http://schemas.openxmlformats.org/officeDocument/2006/relationships/hyperlink" Target="fdsup://factset/Doc%20Viewer%20Single?float_window=true&amp;positioning_strategy=center_on_screen&amp;_doc_docfn=U2FsdGVkX1+r4mU0PLVdNvvICgwpbeBGyaADFS5iwUcDp7RuX6zm7Z9usoFqDtqkDAE5w5EWDgEUQCutIZYud9ZDdZ55tX/cwOQ+pz9h1Dw=&amp;_app_id=central_doc_viewer&amp;center_on_screen=true&amp;width=950&amp;height=800&amp;_dd2=%26f%3Dsld%26c%3Dtrue%26os%3D361737%26oe%3D361740" TargetMode="External"/><Relationship Id="rId52" Type="http://schemas.openxmlformats.org/officeDocument/2006/relationships/hyperlink" Target="fdsup://factset/Doc%20Viewer%20Single?float_window=true&amp;positioning_strategy=center_on_screen&amp;_doc_docfn=U2FsdGVkX19hwlZ2zAWj5TVYKuTRiFqGhnHyo/cOgpRC03pEAArkYF3sNDY3Dy3y1F3fKfuEtI4GZdcqu4fjRIh5o05KlHCaKBWYtETrHNM=&amp;_app_id=central_doc_viewer&amp;center_on_screen=true&amp;width=950&amp;height=800&amp;_dd2=%26f%3Dsld%26c%3Dtrue%26os%3D142827%26oe%3D142830" TargetMode="External"/><Relationship Id="rId73" Type="http://schemas.openxmlformats.org/officeDocument/2006/relationships/hyperlink" Target="fdsup://factset/Doc%20Viewer%20Single?float_window=true&amp;positioning_strategy=center_on_screen&amp;_doc_docfn=U2FsdGVkX19AQYthGWpqKAW69+f2JOJw7gopuubebrxwKuBacYvEX5YdNvpvzaLOtTx773rN9JksZ4sr2WpPRum8e4C4SdcCMyc0AF3/fgg=&amp;_app_id=central_doc_viewer&amp;center_on_screen=true&amp;width=950&amp;height=800&amp;_dd2=%26f%3Dsld%26c%3Dtrue%26os%3D226507%26oe%3D226512" TargetMode="External"/><Relationship Id="rId94" Type="http://schemas.openxmlformats.org/officeDocument/2006/relationships/hyperlink" Target="fdsup://factset/Doc%20Viewer%20Single?float_window=true&amp;positioning_strategy=center_on_screen&amp;_doc_docfn=U2FsdGVkX18sR/tXFfDdFONbVbDdCHsqeay0r/MmJxd7BhQAUHNnGIacGIgPwvZtZVTObBangFs6fO4Hpl6NzQUb88nXHu+DL5l7HpAKnGE=&amp;_app_id=central_doc_viewer&amp;center_on_screen=true&amp;width=950&amp;height=800&amp;_dd2=%26f%3Dsld%26c%3Dtrue%26os%3D146449%26oe%3D146454" TargetMode="External"/><Relationship Id="rId148" Type="http://schemas.openxmlformats.org/officeDocument/2006/relationships/hyperlink" Target="fdsup://factset/Doc%20Viewer%20Single?float_window=true&amp;positioning_strategy=center_on_screen&amp;_doc_docfn=U2FsdGVkX19/jYxun533EACbae/IUPL9YXyWswgd4hHCgBirzlrbqX9TMYpOkbPf0Upc4miEETU1jXzL9Xx2QrzQgBn+FQZvkMpyLqd7MTI=&amp;_app_id=central_doc_viewer&amp;center_on_screen=true&amp;width=950&amp;height=800&amp;_dd2=%26f%3Dsld%26c%3Dtrue%26os%3D233438%26oe%3D233441" TargetMode="External"/><Relationship Id="rId169" Type="http://schemas.openxmlformats.org/officeDocument/2006/relationships/hyperlink" Target="fdsup://factset/Doc%20Viewer%20Single?float_window=true&amp;positioning_strategy=center_on_screen&amp;_doc_docfn=U2FsdGVkX198IV+j+5NKN9Yxkh06KWoXR1+uEwe5ywi8CasNJ8N+8B9n/fKzAvwTTlKk0FTKWFRwj65KhP5lL4hEHvU2sg0XKdh8Hq3unr0=&amp;_app_id=central_doc_viewer&amp;center_on_screen=true&amp;width=950&amp;height=800&amp;_dd2=%26f%3Dsld%26c%3Dtrue%26os%3D233996%26oe%3D234004" TargetMode="External"/><Relationship Id="rId334" Type="http://schemas.openxmlformats.org/officeDocument/2006/relationships/hyperlink" Target="fdsup://factset/Doc%20Viewer%20Single?float_window=true&amp;positioning_strategy=center_on_screen&amp;_doc_docfn=U2FsdGVkX1/s0VDWKWfc7wPvPgBbtxvsrKzwBSVjg4D4FVIFi15cFayO+JGpKQws5EaW8hNjlrHKzR/xmy6jGb+cnejtk6Kv3DsX6k4+gGw=&amp;_app_id=central_doc_viewer&amp;center_on_screen=true&amp;width=950&amp;height=800&amp;_dd2=%26f%3Dsld%26c%3Dtrue%26os%3D1445905%26oe%3D1445911" TargetMode="External"/><Relationship Id="rId355" Type="http://schemas.openxmlformats.org/officeDocument/2006/relationships/hyperlink" Target="fdsup://factset/Doc%20Viewer%20Single?float_window=true&amp;positioning_strategy=center_on_screen&amp;_doc_docfn=U2FsdGVkX1/iqMLNz/nlmcxGB6WNRMGTcCB5dZ8RXG09BRV9l1DeaMKSjAGLfW+Sw79+cExnvw7HbFQN9I55p4/eAZM0norjaG1FfRlFeH8=&amp;_app_id=central_doc_viewer&amp;center_on_screen=true&amp;width=950&amp;height=800&amp;_dd2=%26f%3Dsld%26c%3Dtrue%26os%3D200711%26oe%3D200713" TargetMode="External"/><Relationship Id="rId4" Type="http://schemas.openxmlformats.org/officeDocument/2006/relationships/hyperlink" Target="fdsup://factset/Doc%20Viewer%20Single?float_window=true&amp;positioning_strategy=center_on_screen&amp;_doc_docfn=U2FsdGVkX19uGrfJemzH3VEsFfgMBlfsrrVvplG8KbdUcUDDmZjmU+ZJ1JYC9PthpZd+Qvmve9s2Q6u2H9ca/EfGBWE9spXzDzwrjCrP324=&amp;_app_id=central_doc_viewer&amp;center_on_screen=true&amp;width=950&amp;height=800&amp;_dd2=%26f%3Dsld%26c%3Dtrue%26os%3D141172%26oe%3D141178" TargetMode="External"/><Relationship Id="rId180" Type="http://schemas.openxmlformats.org/officeDocument/2006/relationships/hyperlink" Target="fdsup://factset/Doc%20Viewer%20Single?float_window=true&amp;positioning_strategy=center_on_screen&amp;_doc_docfn=U2FsdGVkX18t1ILN3SUA2YDCzo3v5ux/DNBasJatF1yu0cE57b7G/ITjF5tdX08HlqQWz4unf5eFTgay56z64+LygGO9hGmg8x9/r5RtGsY=&amp;_app_id=central_doc_viewer&amp;center_on_screen=true&amp;width=950&amp;height=800&amp;_dd2=%26f%3Dsld%26c%3Dtrue%26os%3D238858%26oe%3D238865" TargetMode="External"/><Relationship Id="rId215" Type="http://schemas.openxmlformats.org/officeDocument/2006/relationships/hyperlink" Target="fdsup://factset/Doc%20Viewer%20Single?float_window=true&amp;positioning_strategy=center_on_screen&amp;_doc_docfn=U2FsdGVkX1+qVXvlT74WDBtGOl5D8CD+N1SSonHazLR0+wNw9U/yrejC8dJTbjXyl+bJubiJeaEkVoURnfIuGfnyHAWZWEoBKoI6s1vXJzg=&amp;_app_id=central_doc_viewer&amp;center_on_screen=true&amp;width=950&amp;height=800&amp;_dd2=%26f%3Dsld%26c%3Dtrue%26os%3D379406%26oe%3D379411" TargetMode="External"/><Relationship Id="rId236" Type="http://schemas.openxmlformats.org/officeDocument/2006/relationships/hyperlink" Target="fdsup://factset/Doc%20Viewer%20Single?float_window=true&amp;positioning_strategy=center_on_screen&amp;_doc_docfn=U2FsdGVkX18L8pNPrOZx9FgKSoPhI5EyOn7Lz8ILnQlqe5nVEiZYcs0c1Xi1ueqdqFmStmMYAajC+ysgwoulMnePZjLY9sNDd4yqL8x5jJM=&amp;_app_id=central_doc_viewer&amp;center_on_screen=true&amp;width=950&amp;height=800&amp;_dd2=%26f%3Dsld%26c%3Dtrue%26os%3D421201%26oe%3D421202" TargetMode="External"/><Relationship Id="rId257" Type="http://schemas.openxmlformats.org/officeDocument/2006/relationships/hyperlink" Target="fdsup://factset/Doc%20Viewer%20Single?float_window=true&amp;positioning_strategy=center_on_screen&amp;_doc_docfn=U2FsdGVkX18xMeKRTeEl0xPy2EbhR7vEBARYsSPgJWSMkSgz/kxEQS0cdn4qnW5tcEJR2NVxZM/fq0G0OIWWlh48EFfq2G/IKJ4QTXUwD2U=&amp;_app_id=central_doc_viewer&amp;center_on_screen=true&amp;width=950&amp;height=800&amp;_dd2=%26f%3Dsld%26c%3Dtrue%26os%3D256208%26oe%3D256215" TargetMode="External"/><Relationship Id="rId278" Type="http://schemas.openxmlformats.org/officeDocument/2006/relationships/hyperlink" Target="fdsup://factset/Doc%20Viewer%20Single?float_window=true&amp;positioning_strategy=center_on_screen&amp;_doc_docfn=U2FsdGVkX1+G5F13el5Z5yJcDFb+mt1PhhHsPx5OzoQlbT9c7epu3Lh7X2sCinba92g/2G2IcodnByUz4pD2wEW/nrH6Ej7n/WB8mAU7XR8=&amp;_app_id=central_doc_viewer&amp;center_on_screen=true&amp;width=950&amp;height=800&amp;_dd2=%26f%3Dsld%26c%3Dtrue%26os%3D442138%26oe%3D442144" TargetMode="External"/><Relationship Id="rId303" Type="http://schemas.openxmlformats.org/officeDocument/2006/relationships/hyperlink" Target="fdsup://factset/Doc%20Viewer%20Single?float_window=true&amp;positioning_strategy=center_on_screen&amp;_doc_docfn=U2FsdGVkX18toEfCsurxa9loT22jyPiKfN7yWRLq0BypRQpaZDSAGvHAeKT9oflphA02Ggsrih8HvuD7mCW6pSFmt9EjjqAhLPnQrHBRjyE=&amp;_app_id=central_doc_viewer&amp;center_on_screen=true&amp;width=950&amp;height=800&amp;_dd2=%26f%3Dsld%26c%3Dtrue%26os%3D243914%26oe%3D243916" TargetMode="External"/><Relationship Id="rId42" Type="http://schemas.openxmlformats.org/officeDocument/2006/relationships/hyperlink" Target="fdsup://factset/Doc%20Viewer%20Single?float_window=true&amp;positioning_strategy=center_on_screen&amp;_doc_docfn=U2FsdGVkX19fw+aYzPf7YyZoUJzvJlhuCn41KCyA9eUn1tGdXQiqC8QYmU8XNzbiJv6375c/WtU6gf13tGSFS7drhGkm1zrS53z62bXJNU0=&amp;_app_id=central_doc_viewer&amp;center_on_screen=true&amp;width=950&amp;height=800&amp;_dd2=%26f%3Dsld%26c%3Dtrue%26os%3D131974%26oe%3D131979" TargetMode="External"/><Relationship Id="rId84" Type="http://schemas.openxmlformats.org/officeDocument/2006/relationships/hyperlink" Target="fdsup://factset/Doc%20Viewer%20Single?float_window=true&amp;positioning_strategy=center_on_screen&amp;_doc_docfn=U2FsdGVkX1807Kc3rakX/o5o/ncdhU+WEWFlag2gktEGbmKPX2cu6jy7DEE2e7Wh0Ddaj3LNykGjLUd9G2XWy5aEYX20okDrFNpxBtg2jAI=&amp;_app_id=central_doc_viewer&amp;center_on_screen=true&amp;width=950&amp;height=800&amp;_dd2=%26f%3Dsld%26c%3Dtrue%26os%3D145647%26oe%3D145654" TargetMode="External"/><Relationship Id="rId138" Type="http://schemas.openxmlformats.org/officeDocument/2006/relationships/hyperlink" Target="fdsup://factset/Doc%20Viewer%20Single?float_window=true&amp;positioning_strategy=center_on_screen&amp;_doc_docfn=U2FsdGVkX1/jgTyitHkkG9Mr2UldSJ7G56Jk+Ii5ImkFIHSCpdtlrXuc7nu5TB1dyUrlYREH3lc4wWK0oqz5Y6apG6QVxJsGEnmM3CVZE8A=&amp;_app_id=central_doc_viewer&amp;center_on_screen=true&amp;width=950&amp;height=800&amp;_dd2=%26f%3Dsld%26c%3Dtrue%26os%3D232686%26oe%3D232691" TargetMode="External"/><Relationship Id="rId345" Type="http://schemas.openxmlformats.org/officeDocument/2006/relationships/hyperlink" Target="fdsup://factset/Doc%20Viewer%20Single?float_window=true&amp;positioning_strategy=center_on_screen&amp;_doc_docfn=U2FsdGVkX193M1tFgPuMPcYXTrOlIZjSe8+zq1eEkmq65whwXkd2OdjBPFE/3PsBexsRnlyI7rveB1NVBmgdJ7apEi5XCi5Fw97qccHDo6I=&amp;_app_id=central_doc_viewer&amp;center_on_screen=true&amp;width=950&amp;height=800&amp;_dd2=%26f%3Dsld%26c%3Dtrue%26os%3D248765%26oe%3D248771" TargetMode="External"/><Relationship Id="rId191" Type="http://schemas.openxmlformats.org/officeDocument/2006/relationships/hyperlink" Target="fdsup://factset/Doc%20Viewer%20Single?float_window=true&amp;positioning_strategy=center_on_screen&amp;_doc_docfn=U2FsdGVkX1/OBaOO8Fx6+gw+j72oTz6i3HReAq9ELygOdW2Iq1pmCYndwM6943POUWdrcSCZ0WXRtSnEybmkk/aRX9OhWea5KclXtspR0HA=&amp;_app_id=central_doc_viewer&amp;center_on_screen=true&amp;width=950&amp;height=800&amp;_dd2=%26f%3Dsld%26c%3Dtrue%26os%3D410573%26oe%3D410579" TargetMode="External"/><Relationship Id="rId205" Type="http://schemas.openxmlformats.org/officeDocument/2006/relationships/hyperlink" Target="fdsup://factset/Doc%20Viewer%20Single?float_window=true&amp;positioning_strategy=center_on_screen&amp;_doc_docfn=U2FsdGVkX1/o4PlQ/Y8kwPp5PXovLotsScMgNMlCkU/p9tA4aet5NESugwPPjQLQGiQ5jpEO3vmwv8ipywruNFE81Kvgtj+ub+BgI2He/O8=&amp;_app_id=central_doc_viewer&amp;center_on_screen=true&amp;width=950&amp;height=800&amp;_dd2=%26f%3Dsld%26c%3Dtrue%26os%3D251058%26oe%3D251065" TargetMode="External"/><Relationship Id="rId247" Type="http://schemas.openxmlformats.org/officeDocument/2006/relationships/hyperlink" Target="fdsup://factset/Doc%20Viewer%20Single?float_window=true&amp;positioning_strategy=center_on_screen&amp;_doc_docfn=U2FsdGVkX1/spx9AfDFt9g8eUzz6bdXEr3xOFZPx5YHChB7KkgbkSsjtjxgiOl71kjjF/31vx4/5S+4SF/TTNonVmoTCWH7MeVXKzmpQZfU=&amp;_app_id=central_doc_viewer&amp;center_on_screen=true&amp;width=950&amp;height=800&amp;_dd2=%26f%3Dsld%26c%3Dtrue%26os%3D260075%26oe%3D260083" TargetMode="External"/><Relationship Id="rId107" Type="http://schemas.openxmlformats.org/officeDocument/2006/relationships/hyperlink" Target="fdsup://factset/Doc%20Viewer%20Single?float_window=true&amp;positioning_strategy=center_on_screen&amp;_doc_docfn=U2FsdGVkX18d6UkLzxWFvMiK0BOsd3+lSlj/fnFIlYYuOFQS2UF/d7WEWeVGl2gxXgMnhRMgBB8tvVvXayxRyZ94n0x8+m6Z7mCt/jRgf7s=&amp;_app_id=central_doc_viewer&amp;center_on_screen=true&amp;width=950&amp;height=800&amp;_dd2=%26f%3Dsld%26c%3Dtrue%26os%3D371310%26oe%3D371317" TargetMode="External"/><Relationship Id="rId289" Type="http://schemas.openxmlformats.org/officeDocument/2006/relationships/hyperlink" Target="fdsup://factset/Doc%20Viewer%20Single?float_window=true&amp;positioning_strategy=center_on_screen&amp;_doc_docfn=U2FsdGVkX1/+KJ4GH3a7+oZBwoUTHJuKnj3L1c3LtFk06hLBSmbgFhN8Mb2Yx/w4rIsoNYsXk4sCnaB/WDCi9+e07WV9a2MgrGVCU+Shhrg=&amp;_app_id=central_doc_viewer&amp;center_on_screen=true&amp;width=950&amp;height=800&amp;_dd2=%26f%3Dsld%26c%3Dtrue%26os%3D194732%26oe%3D194740" TargetMode="External"/><Relationship Id="rId11" Type="http://schemas.openxmlformats.org/officeDocument/2006/relationships/hyperlink" Target="fdsup://factset/Doc%20Viewer%20Single?float_window=true&amp;positioning_strategy=center_on_screen&amp;_doc_docfn=U2FsdGVkX18T+oL9KjnAZRt2vmDxSOaakvCvV8Fbh3MEqJgpOx3dZ1TFPZSa/RpEwZsidp3rYgsXjLdWrBxPOaKJ65bpvPg1RHSpzQRd3vg=&amp;_app_id=central_doc_viewer&amp;center_on_screen=true&amp;width=950&amp;height=800&amp;_dd2=%26f%3Dsld%26c%3Dtrue%26os%3D354593%26oe%3D354599" TargetMode="External"/><Relationship Id="rId53" Type="http://schemas.openxmlformats.org/officeDocument/2006/relationships/hyperlink" Target="fdsup://factset/Doc%20Viewer%20Single?float_window=true&amp;positioning_strategy=center_on_screen&amp;_doc_docfn=U2FsdGVkX1/Anp7Ta/3xfrhJuLL2YGygPkGRB7sWvLjhgi6mIBpiD6OOZAyJiftq23EEj5v8dNgJ+bq5FUtP4Tse2cOcL0kA8PaMfEbl0lM=&amp;_app_id=central_doc_viewer&amp;center_on_screen=true&amp;width=950&amp;height=800&amp;_dd2=%26f%3Dsld%26c%3Dtrue%26os%3D132748%26oe%3D132751" TargetMode="External"/><Relationship Id="rId149" Type="http://schemas.openxmlformats.org/officeDocument/2006/relationships/hyperlink" Target="fdsup://factset/Doc%20Viewer%20Single?float_window=true&amp;positioning_strategy=center_on_screen&amp;_doc_docfn=U2FsdGVkX18F5TmRPkErK87WhE0a0yKFqucC8OkkEbBuTGTl4dRFqUIVsA1Oqg4VWnXGBCyyrQW9Ypr11qlp7oG8vcgW2d3znbjqRQndVe8=&amp;_app_id=central_doc_viewer&amp;center_on_screen=true&amp;width=950&amp;height=800&amp;_dd2=%26f%3Dsld%26c%3Dtrue%26os%3D232091%26oe%3D232094" TargetMode="External"/><Relationship Id="rId314" Type="http://schemas.openxmlformats.org/officeDocument/2006/relationships/hyperlink" Target="fdsup://factset/Doc%20Viewer%20Single?float_window=true&amp;positioning_strategy=center_on_screen&amp;_doc_docfn=U2FsdGVkX19lP0SuZYw3H97O1oyts5yTiaRwoVjgW928WkhSrJ0PkrkXec4hRLu/xZeyH0MQ4Ptwv/SeFM6xUeNKaaR3YcQ4FJwtZJcXWpI=&amp;_app_id=central_doc_viewer&amp;center_on_screen=true&amp;width=950&amp;height=800&amp;_dd2=%26f%3Dsld%26c%3Dtrue%26os%3D242980%26oe%3D242985" TargetMode="External"/><Relationship Id="rId356" Type="http://schemas.openxmlformats.org/officeDocument/2006/relationships/hyperlink" Target="fdsup://factset/Doc%20Viewer%20Single?float_window=true&amp;positioning_strategy=center_on_screen&amp;_doc_docfn=U2FsdGVkX1/VHqE9v4HVF7u3zfD+VDHDFssRL0dSgkPQIttAUqk11Iz1h5l+tMBjZugFmTfVfNUkzFNsxC6eZdeJjy7AXm9JtS+LOXCo+TI=&amp;_app_id=central_doc_viewer&amp;center_on_screen=true&amp;width=950&amp;height=800&amp;_dd2=%26f%3Dsld%26c%3Dtrue%26os%3D172408%26oe%3D172410" TargetMode="External"/><Relationship Id="rId95" Type="http://schemas.openxmlformats.org/officeDocument/2006/relationships/hyperlink" Target="fdsup://factset/Doc%20Viewer%20Single?float_window=true&amp;positioning_strategy=center_on_screen&amp;_doc_docfn=U2FsdGVkX1+t1PZzUhCmSQPRPiEzPc7iN6edUPnjtLZsCXjKLEXj9ZwUNLDhKolnbRwz8HSQPUMF0BjwMWP/S0Znq2TRtoodczZCFKRvslk=&amp;_app_id=central_doc_viewer&amp;center_on_screen=true&amp;width=950&amp;height=800&amp;_dd2=%26f%3Dsld%26c%3Dtrue%26os%3D136309%26oe%3D136316" TargetMode="External"/><Relationship Id="rId160" Type="http://schemas.openxmlformats.org/officeDocument/2006/relationships/hyperlink" Target="fdsup://factset/Doc%20Viewer%20Single?float_window=true&amp;positioning_strategy=center_on_screen&amp;_doc_docfn=U2FsdGVkX1+umMMPB0kU/sRHRbPIpmGBnVh9dhMpPn6t4oSU9RfE5L6Om/jyIzkHmCz4YsaamOBQWIF0U9a2A9Tm2zRqOoXJPvLvKTxm0I0=&amp;_app_id=central_doc_viewer&amp;center_on_screen=true&amp;width=950&amp;height=800&amp;_dd2=%26f%3Dsld%26c%3Dtrue%26os%3D237091%26oe%3D237099" TargetMode="External"/><Relationship Id="rId216" Type="http://schemas.openxmlformats.org/officeDocument/2006/relationships/hyperlink" Target="fdsup://factset/Doc%20Viewer%20Single?float_window=true&amp;positioning_strategy=center_on_screen&amp;_doc_docfn=U2FsdGVkX18FAsoRWTzrPT9fkz1aff+mU3Yl/QXchGVCWOzmAo1y6iDrP19Bu7dCdPxeizo9/2+S54oXp5WNkXIKQuY9fHbjNxlmCzQ76h0=&amp;_app_id=central_doc_viewer&amp;center_on_screen=true&amp;width=950&amp;height=800&amp;_dd2=%26f%3Dsld%26c%3Dtrue%26os%3D238525%26oe%3D238528" TargetMode="External"/><Relationship Id="rId258" Type="http://schemas.openxmlformats.org/officeDocument/2006/relationships/hyperlink" Target="fdsup://factset/Doc%20Viewer%20Single?float_window=true&amp;positioning_strategy=center_on_screen&amp;_doc_docfn=U2FsdGVkX1+w17N/DXIJi1ZP/eUPOyVQG1ZhLVgTAhmlGCMBmX6hkb0LxlSJ88kJvGfWKwnF1IWzc8DbYdwK48QLOrF66AU5Yi6rw4rizTI=&amp;_app_id=central_doc_viewer&amp;center_on_screen=true&amp;width=950&amp;height=800&amp;_dd2=%26f%3Dsld%26c%3Dtrue%26os%3D383013%26oe%3D383020" TargetMode="External"/><Relationship Id="rId22" Type="http://schemas.openxmlformats.org/officeDocument/2006/relationships/hyperlink" Target="fdsup://factset/Doc%20Viewer%20Single?float_window=true&amp;positioning_strategy=center_on_screen&amp;_doc_docfn=U2FsdGVkX19bGG93OMNWsx8VDNlaLMgl6Ow86wVJIAAYQ4J1Qrty5YbwTrYj6O/gBp7ccH/sTI9B5xd6Yai3sdNqpdCuPucEOhNK4rfg7Us=&amp;_app_id=central_doc_viewer&amp;center_on_screen=true&amp;width=950&amp;height=800&amp;_dd2=%26f%3Dsld%26c%3Dtrue%26os%3D168699%26oe%3D168704" TargetMode="External"/><Relationship Id="rId64" Type="http://schemas.openxmlformats.org/officeDocument/2006/relationships/hyperlink" Target="fdsup://factset/Doc%20Viewer%20Single?float_window=true&amp;positioning_strategy=center_on_screen&amp;_doc_docfn=U2FsdGVkX19VFN+VUUueqKrJRxv5o/6IQf/TqXvh4vHBB9yAGrFAjPW+Xuf8tYhFWCYk2gL30HYC/FjI24+0hxlk074bnIq8YKa1KTxnXDk=&amp;_app_id=central_doc_viewer&amp;center_on_screen=true&amp;width=950&amp;height=800&amp;_dd2=%26f%3Dsld%26c%3Dtrue%26os%3D225787%26oe%3D225792" TargetMode="External"/><Relationship Id="rId118" Type="http://schemas.openxmlformats.org/officeDocument/2006/relationships/hyperlink" Target="fdsup://factset/Doc%20Viewer%20Single?float_window=true&amp;positioning_strategy=center_on_screen&amp;_doc_docfn=U2FsdGVkX1+odm+z2fwWDy2y8vGOt8lq3N0Zfu0/7NoYyQPY0O2tMzOJefJKGIeVxAtupBcO04fJrY3r+dg5fW6KA3BtRhPDXL1zez10AFU=&amp;_app_id=central_doc_viewer&amp;center_on_screen=true&amp;width=950&amp;height=800&amp;_dd2=%26f%3Dsld%26c%3Dtrue%26os%3D231177%26oe%3D231180" TargetMode="External"/><Relationship Id="rId325" Type="http://schemas.openxmlformats.org/officeDocument/2006/relationships/hyperlink" Target="fdsup://factset/Doc%20Viewer%20Single?float_window=true&amp;positioning_strategy=center_on_screen&amp;_doc_docfn=U2FsdGVkX1+pXdNLgPXyzhCIcFj6nZvIHCJgDyIYHa8PT7YQ7f/ZtqFmfcmnfuefBmGM5rnvykEBViemhjAu4HkfeRmitXECpeM0HeA8SZI=&amp;_app_id=central_doc_viewer&amp;center_on_screen=true&amp;width=950&amp;height=800&amp;_dd2=%26f%3Dsld%26c%3Dtrue%26os%3D247832%26oe%3D247839" TargetMode="External"/><Relationship Id="rId171" Type="http://schemas.openxmlformats.org/officeDocument/2006/relationships/hyperlink" Target="fdsup://factset/Doc%20Viewer%20Single?float_window=true&amp;positioning_strategy=center_on_screen&amp;_doc_docfn=U2FsdGVkX1+apAHrcaCLOQXqdsncBMy9y4neZbK/sHR6eFMBRfe8+DNZQgVZ65IexD7As2fsgl/QgkrYwfeaj3YEJMJJSb4I1BUh5bDC7o8=&amp;_app_id=central_doc_viewer&amp;center_on_screen=true&amp;width=950&amp;height=800&amp;_dd2=%26f%3Dsld%26c%3Dtrue%26os%3D234012%26oe%3D234020" TargetMode="External"/><Relationship Id="rId227" Type="http://schemas.openxmlformats.org/officeDocument/2006/relationships/hyperlink" Target="fdsup://factset/Doc%20Viewer%20Single?float_window=true&amp;positioning_strategy=center_on_screen&amp;_doc_docfn=U2FsdGVkX1/oqrpIdS9lHE5w4zL7A/EWPtBipQs1a/bzo/STayidlcenqigV3Tze7clL/uiT4UUiqhYoCckfZlWgVwfjVNYVdKVhps9HoFM=&amp;_app_id=central_doc_viewer&amp;center_on_screen=true&amp;width=950&amp;height=800&amp;_dd2=%26f%3Dsld%26c%3Dtrue%26os%3D148348%26oe%3D148349" TargetMode="External"/><Relationship Id="rId269" Type="http://schemas.openxmlformats.org/officeDocument/2006/relationships/hyperlink" Target="fdsup://factset/Doc%20Viewer%20Single?float_window=true&amp;positioning_strategy=center_on_screen&amp;_doc_docfn=U2FsdGVkX1+3lQlSHqmxxLDFLbL4i+ebpGXIesXGaJHr6nPp1lUvF9yytIe8USR4vrtbiiy/Qx+J/BZVeRfw7bo4JLMzycmXriJI3f9U6DY=&amp;_app_id=central_doc_viewer&amp;center_on_screen=true&amp;width=950&amp;height=800&amp;_dd2=%26f%3Dsld%26c%3Dtrue%26os%3D163924%26oe%3D163931" TargetMode="External"/><Relationship Id="rId33" Type="http://schemas.openxmlformats.org/officeDocument/2006/relationships/hyperlink" Target="fdsup://factset/Doc%20Viewer%20Single?float_window=true&amp;positioning_strategy=center_on_screen&amp;_doc_docfn=U2FsdGVkX19E1ZuUJhV6vKFFih/2KyCSsN/B/lClANcmXZzg/1ma9ozNYOXJfr9KUIlxczyPegpLV9jfLg1IH+cGQfLHU4kU4EyV23KVUzg=&amp;_app_id=central_doc_viewer&amp;center_on_screen=true&amp;width=950&amp;height=800&amp;_dd2=%26f%3Dsld%26c%3Dtrue%26os%3D141249%26oe%3D141252" TargetMode="External"/><Relationship Id="rId129" Type="http://schemas.openxmlformats.org/officeDocument/2006/relationships/hyperlink" Target="fdsup://factset/Doc%20Viewer%20Single?float_window=true&amp;positioning_strategy=center_on_screen&amp;_doc_docfn=U2FsdGVkX1//g0gqvaMPJBjJOd7RKUTrG0V6QK1qplsgfmj94YnQFSkf11wQQoj08VMVojeme07zUkxPtnBymT68WAeBTqZXBGaupRMilxw=&amp;_app_id=central_doc_viewer&amp;center_on_screen=true&amp;width=950&amp;height=800&amp;_dd2=%26f%3Dsld%26c%3Dtrue%26os%3D230585%26oe%3D230590" TargetMode="External"/><Relationship Id="rId280" Type="http://schemas.openxmlformats.org/officeDocument/2006/relationships/hyperlink" Target="fdsup://factset/Doc%20Viewer%20Single?float_window=true&amp;positioning_strategy=center_on_screen&amp;_doc_docfn=U2FsdGVkX1+PzFVnF9c2potDctFxq0IfLETfYsR1hITPr0/6I8TVccJZK7O6xteGK38p7P+/aqXbtEYKbch7c/N32gtYXNC+wnrZB/ySG/A=&amp;_app_id=central_doc_viewer&amp;center_on_screen=true&amp;width=950&amp;height=800&amp;_dd2=%26f%3Dsld%26c%3Dtrue%26os%3D164754%26oe%3D164759" TargetMode="External"/><Relationship Id="rId336" Type="http://schemas.openxmlformats.org/officeDocument/2006/relationships/hyperlink" Target="fdsup://factset/Doc%20Viewer%20Single?float_window=true&amp;positioning_strategy=center_on_screen&amp;_doc_docfn=U2FsdGVkX18D6fGdD+zzQjv30SOgeVCga9WV1aGNvEPN5c/phqRLOK+kZdnPfcorRKBiByGB512uIWtgquNHKegkxfHOPft3MyF2Tg6FTeg=&amp;_app_id=central_doc_viewer&amp;center_on_screen=true&amp;width=950&amp;height=800&amp;_dd2=%26f%3Dsld%26c%3Dtrue%26os%3D1263167%26oe%3D1263173" TargetMode="External"/><Relationship Id="rId75" Type="http://schemas.openxmlformats.org/officeDocument/2006/relationships/hyperlink" Target="fdsup://factset/Doc%20Viewer%20Single?float_window=true&amp;positioning_strategy=center_on_screen&amp;_doc_docfn=U2FsdGVkX1/4OzZ7+oCpqbl+IhjrK0eg392ARxXLJqkxCIvAoN69+K6VA7CWvMFcLw7xS2h73BrpnBGgXfUahCNByZ/UyGaBWzdFNm1QEto=&amp;_app_id=central_doc_viewer&amp;center_on_screen=true&amp;width=950&amp;height=800&amp;_dd2=%26f%3Dsld%26c%3Dtrue%26os%3D226516%26oe%3D226521" TargetMode="External"/><Relationship Id="rId140" Type="http://schemas.openxmlformats.org/officeDocument/2006/relationships/hyperlink" Target="fdsup://factset/Doc%20Viewer%20Single?float_window=true&amp;positioning_strategy=center_on_screen&amp;_doc_docfn=U2FsdGVkX1+h+uKtDVK0HxQ3m2aKhdO2j9aHwytlUCMTfFDunDQxmEJ/VNKeM3ucikn50y63R3k9xvwTpSek0fuJ4iePiwHyv9eZlvzyCow=&amp;_app_id=central_doc_viewer&amp;center_on_screen=true&amp;width=950&amp;height=800&amp;_dd2=%26f%3Dsld%26c%3Dtrue%26os%3D228791%26oe%3D228794" TargetMode="External"/><Relationship Id="rId182" Type="http://schemas.openxmlformats.org/officeDocument/2006/relationships/hyperlink" Target="fdsup://factset/Doc%20Viewer%20Single?float_window=true&amp;positioning_strategy=center_on_screen&amp;_doc_docfn=U2FsdGVkX19mOA9YoZj2JfoZYLiQt8g7gBGXL9HESBQ1P+/dm+49irGwdpuDPwLc4+V3BT7hhdKAV7qiXB6gaqqqBZMCAGU35XueTIT9PIo=&amp;_app_id=central_doc_viewer&amp;center_on_screen=true&amp;width=950&amp;height=800&amp;_dd2=%26f%3Dsld%26c%3Dtrue%26os%3D183434%26oe%3D183442" TargetMode="External"/><Relationship Id="rId6" Type="http://schemas.openxmlformats.org/officeDocument/2006/relationships/hyperlink" Target="fdsup://factset/Doc%20Viewer%20Single?float_window=true&amp;positioning_strategy=center_on_screen&amp;_doc_docfn=U2FsdGVkX1/gTegxkwoNOrdl/G+XW3X76kTo0bZvwJVtiNUFPBa5ix1LtxmeJ04EtkCdQov/VjuaTXEs7Em9gSjEbOA1j4hkWBizNrfY3XE=&amp;_app_id=central_doc_viewer&amp;center_on_screen=true&amp;width=950&amp;height=800&amp;_dd2=%26f%3Dsld%26c%3Dtrue%26os%3D375111%26oe%3D375117" TargetMode="External"/><Relationship Id="rId238" Type="http://schemas.openxmlformats.org/officeDocument/2006/relationships/hyperlink" Target="fdsup://factset/Doc%20Viewer%20Single?float_window=true&amp;positioning_strategy=center_on_screen&amp;_doc_docfn=U2FsdGVkX18kzIzyh9NCf4QEhDhYXOCiGbL5VRIzJNYIXN/j0NRGWGJWrrxh4XFmf+OrBGa76noMg6iocSamVJFMTbtbU2uQvO8GAIOgdsA=&amp;_app_id=central_doc_viewer&amp;center_on_screen=true&amp;width=950&amp;height=800&amp;_dd2=%26f%3Dsld%26c%3Dtrue%26os%3D424000%26oe%3D424005" TargetMode="External"/><Relationship Id="rId291" Type="http://schemas.openxmlformats.org/officeDocument/2006/relationships/hyperlink" Target="fdsup://factset/Doc%20Viewer%20Single?float_window=true&amp;positioning_strategy=center_on_screen&amp;_doc_docfn=U2FsdGVkX1+gNtq9DxM4ywjnjBw966M0Laj+Ds4h89LplFAvnICMfMqZx3NmMFG0/OkjjrDDJtmnnS6SgsOVJ91TdVeQP2LqmJxjklTwPzg=&amp;_app_id=central_doc_viewer&amp;center_on_screen=true&amp;width=950&amp;height=800&amp;_dd2=%26f%3Dsld%26c%3Dtrue%26os%3D154703%26oe%3D154710" TargetMode="External"/><Relationship Id="rId305" Type="http://schemas.openxmlformats.org/officeDocument/2006/relationships/hyperlink" Target="fdsup://factset/Doc%20Viewer%20Single?float_window=true&amp;positioning_strategy=center_on_screen&amp;_doc_docfn=U2FsdGVkX1+TmouS0ZgCRaEYacdGE2WWqqgcGTbrPxNkLTSblpAaRYoCTvkqX6/2uGOuJWT6mA1WECbHBvButGIT+LLTSUBjvltLs64N2Cs=&amp;_app_id=central_doc_viewer&amp;center_on_screen=true&amp;width=950&amp;height=800&amp;_dd2=%26f%3Dsld%26c%3Dtrue%26os%3D244609%26oe%3D244614" TargetMode="External"/><Relationship Id="rId347" Type="http://schemas.openxmlformats.org/officeDocument/2006/relationships/hyperlink" Target="fdsup://factset/Doc%20Viewer%20Single?float_window=true&amp;positioning_strategy=center_on_screen&amp;_doc_docfn=U2FsdGVkX1/XYPJDUAQ4imaavqpXUEqcUJPW4yRrVJNhaN5eJWepxPFTm/tndKAbOb7J1FIb9gxT3ReTqJ3DrYMFE28I2OCvVrYUxMHDt9I=&amp;_app_id=central_doc_viewer&amp;center_on_screen=true&amp;width=950&amp;height=800&amp;_dd2=%26f%3Dsld%26c%3Dtrue%26os%3D244859%26oe%3D244865" TargetMode="External"/><Relationship Id="rId44" Type="http://schemas.openxmlformats.org/officeDocument/2006/relationships/hyperlink" Target="fdsup://factset/Doc%20Viewer%20Single?float_window=true&amp;positioning_strategy=center_on_screen&amp;_doc_docfn=U2FsdGVkX18RbXixGCuWvGPCASK6XKNlng4Ni4dcf7/YgU209gS0xsmOgB5E3Xb5nljOlxPWyrkL5P+zq35Z3pOyLO+nLjt02OPKtGrxReY=&amp;_app_id=central_doc_viewer&amp;center_on_screen=true&amp;width=950&amp;height=800&amp;_dd2=%26f%3Dsld%26c%3Dtrue%26os%3D366544%26oe%3D366550" TargetMode="External"/><Relationship Id="rId86" Type="http://schemas.openxmlformats.org/officeDocument/2006/relationships/hyperlink" Target="fdsup://factset/Doc%20Viewer%20Single?float_window=true&amp;positioning_strategy=center_on_screen&amp;_doc_docfn=U2FsdGVkX1+s7kovoNVj0gEylsJSPgmnNCjwNdlcppGW+ajNgsb/9a+EWPJsegGkvd+hVvVCKykvp5/kXEmLgCaG3vlRvaMTzspXd0kzR88=&amp;_app_id=central_doc_viewer&amp;center_on_screen=true&amp;width=950&amp;height=800&amp;_dd2=%26f%3Dsld%26c%3Dtrue%26os%3D242278%26oe%3D242285" TargetMode="External"/><Relationship Id="rId151" Type="http://schemas.openxmlformats.org/officeDocument/2006/relationships/hyperlink" Target="fdsup://factset/Doc%20Viewer%20Single?float_window=true&amp;positioning_strategy=center_on_screen&amp;_doc_docfn=U2FsdGVkX18LMR16jd5rKsRxKEDzMCaii6olMC6I8wQgAUj5dZUkYe7WD9Aflhoa7cjnbo0NgBKdFZ6fuhTvhfSDtBais9YjfR/um9OeEB8=&amp;_app_id=central_doc_viewer&amp;center_on_screen=true&amp;width=950&amp;height=800&amp;_dd2=%26f%3Dsld%26c%3Dtrue%26os%3D232101%26oe%3D232106" TargetMode="External"/><Relationship Id="rId193" Type="http://schemas.openxmlformats.org/officeDocument/2006/relationships/hyperlink" Target="fdsup://factset/Doc%20Viewer%20Single?float_window=true&amp;positioning_strategy=center_on_screen&amp;_doc_docfn=U2FsdGVkX1/tlkRjaiNp6HrTOCcN8L52DkZ4UClLekllGOOyUGO8o6oYy5ZavCB3iVQwwy4STiWI702RgYzVyreWPh4i9EGGwvAeKJB+jLg=&amp;_app_id=central_doc_viewer&amp;center_on_screen=true&amp;width=950&amp;height=800&amp;_dd2=%26f%3Dsld%26c%3Dtrue%26os%3D155012%26oe%3D155018" TargetMode="External"/><Relationship Id="rId207" Type="http://schemas.openxmlformats.org/officeDocument/2006/relationships/hyperlink" Target="fdsup://factset/Doc%20Viewer%20Single?float_window=true&amp;positioning_strategy=center_on_screen&amp;_doc_docfn=U2FsdGVkX1+JYjZ0Dm7Pozof5prmodSX974AsTk2yJYPTOkeVNcxy/5xemEgkahhaeEi9HYREtbWaJ51tKPS4rQ+qJ1Gh3sDozgWFCfEi2s=&amp;_app_id=central_doc_viewer&amp;center_on_screen=true&amp;width=950&amp;height=800&amp;_dd2=%26f%3Dsld%26c%3Dtrue%26os%3D237738%26oe%3D237745" TargetMode="External"/><Relationship Id="rId249" Type="http://schemas.openxmlformats.org/officeDocument/2006/relationships/hyperlink" Target="fdsup://factset/Doc%20Viewer%20Single?float_window=true&amp;positioning_strategy=center_on_screen&amp;_doc_docfn=U2FsdGVkX19FP/io6hPL4SRtwArPRKpeTbaXkDkuqr93LRFS9rFKE6gRDVSje6v62v83JQ/mCaml+rgWgulTs2/fFjdql58HwXhMNYrAuno=&amp;_app_id=central_doc_viewer&amp;center_on_screen=true&amp;width=950&amp;height=800&amp;_dd2=%26f%3Dsld%26c%3Dtrue%26os%3D246030%26oe%3D246038" TargetMode="External"/><Relationship Id="rId13" Type="http://schemas.openxmlformats.org/officeDocument/2006/relationships/hyperlink" Target="fdsup://factset/Doc%20Viewer%20Single?float_window=true&amp;positioning_strategy=center_on_screen&amp;_doc_docfn=U2FsdGVkX1/W2/gbGBoKsFtqT71y6UCpgrb86v/8lAlOKm0hdKm2nm9EipcN83HHzYQtfvU4dWKpNKIKBV2mHt/8ZJoDCsdAvSasECjR4C4=&amp;_app_id=central_doc_viewer&amp;center_on_screen=true&amp;width=950&amp;height=800&amp;_dd2=%26f%3Dsld%26c%3Dtrue%26os%3D139179%26oe%3D139185" TargetMode="External"/><Relationship Id="rId109" Type="http://schemas.openxmlformats.org/officeDocument/2006/relationships/hyperlink" Target="fdsup://factset/Doc%20Viewer%20Single?float_window=true&amp;positioning_strategy=center_on_screen&amp;_doc_docfn=U2FsdGVkX1+1ZRudK8851xFj4jx/fwJ4freHEj+vOQk6yVziUNXWqmLALa4P5UGkM8gVraRWWm2VqIDuZb7oIF1cOF3ZiWRhnZEpW1m6JX8=&amp;_app_id=central_doc_viewer&amp;center_on_screen=true&amp;width=950&amp;height=800&amp;_dd2=%26f%3Dsld%26c%3Dtrue%26os%3D229079%26oe%3D229086" TargetMode="External"/><Relationship Id="rId260" Type="http://schemas.openxmlformats.org/officeDocument/2006/relationships/hyperlink" Target="fdsup://factset/Doc%20Viewer%20Single?float_window=true&amp;positioning_strategy=center_on_screen&amp;_doc_docfn=U2FsdGVkX18xTEwlRshSQeJS0cxXJEiA8Jk/M9NQip38t9XAdkTHAkOc6ZYe0jy41gr4QVL+vt0IPv9ol8tmSR8e9Y9eqh5dc/ly6k8aFUo=&amp;_app_id=central_doc_viewer&amp;center_on_screen=true&amp;width=950&amp;height=800&amp;_dd2=%26f%3Dsld%26c%3Dtrue%26os%3D240788%26oe%3D240795" TargetMode="External"/><Relationship Id="rId316" Type="http://schemas.openxmlformats.org/officeDocument/2006/relationships/hyperlink" Target="fdsup://factset/Doc%20Viewer%20Single?float_window=true&amp;positioning_strategy=center_on_screen&amp;_doc_docfn=U2FsdGVkX19A4XFjsxUCEqOe3QPWWoEYVWvPrX2L6YpLCELH4DYj6v+UNqZYWiByT4CkubUHRlIY8NuAXF0MVgLLj2OLgy6/ur061g2LLL4=&amp;_app_id=central_doc_viewer&amp;center_on_screen=true&amp;width=950&amp;height=800&amp;_dd2=%26f%3Dsld%26c%3Dtrue%26os%3D455027%26oe%3D455033" TargetMode="External"/><Relationship Id="rId55" Type="http://schemas.openxmlformats.org/officeDocument/2006/relationships/hyperlink" Target="fdsup://factset/Doc%20Viewer%20Single?float_window=true&amp;positioning_strategy=center_on_screen&amp;_doc_docfn=U2FsdGVkX1/FE/XlYvhKCs2/qBjOaTuG4qEEnjAmukflucjYX+lk9idumjwnj0cxEpUKC8yQ39LP3NYVLTGh/i7Cr+LlgBvWjeNNb0gNu3E=&amp;_app_id=central_doc_viewer&amp;center_on_screen=true&amp;width=950&amp;height=800&amp;_dd2=%26f%3Dsld%26c%3Dtrue%26os%3D367266%26oe%3D367271" TargetMode="External"/><Relationship Id="rId97" Type="http://schemas.openxmlformats.org/officeDocument/2006/relationships/hyperlink" Target="fdsup://factset/Doc%20Viewer%20Single?float_window=true&amp;positioning_strategy=center_on_screen&amp;_doc_docfn=U2FsdGVkX1+B96oqWq3ZlL2//+78eZL5miqpBrnVyTqP0sgeHvo66Qy2JPpcKei0s7Mb1Pcera1+E4vhhyL0r0M03ep+MZ2J7Rqr/BEcww8=&amp;_app_id=central_doc_viewer&amp;center_on_screen=true&amp;width=950&amp;height=800&amp;_dd2=%26f%3Dsld%26c%3Dtrue%26os%3D370576%26oe%3D370581" TargetMode="External"/><Relationship Id="rId120" Type="http://schemas.openxmlformats.org/officeDocument/2006/relationships/hyperlink" Target="fdsup://factset/Doc%20Viewer%20Single?float_window=true&amp;positioning_strategy=center_on_screen&amp;_doc_docfn=U2FsdGVkX1/TWNKJO1QJqF8kqQee7C9krFkRFc779f84MJiZK3vMjMS4uMZS8re/7etlpnsPlxjnIWFdtE/TS6mOFtkCCB4Ygmvr0QrWzkc=&amp;_app_id=central_doc_viewer&amp;center_on_screen=true&amp;width=950&amp;height=800&amp;_dd2=%26f%3Dsld%26c%3Dtrue%26os%3D227283%26oe%3D227286" TargetMode="External"/><Relationship Id="rId162" Type="http://schemas.openxmlformats.org/officeDocument/2006/relationships/hyperlink" Target="fdsup://factset/Doc%20Viewer%20Single?float_window=true&amp;positioning_strategy=center_on_screen&amp;_doc_docfn=U2FsdGVkX19K/xMDsa6atrh19tzXYxQ8AYR5zCajUbFpwDtqTUzMnWTuGvJYKyRKqgFWdqRRRnE34KV8SzBO6HBCqkmPh285U3eOsBSbVdo=&amp;_app_id=central_doc_viewer&amp;center_on_screen=true&amp;width=950&amp;height=800&amp;_dd2=%26f%3Dsld%26c%3Dtrue%26os%3D405234%26oe%3D405241" TargetMode="External"/><Relationship Id="rId218" Type="http://schemas.openxmlformats.org/officeDocument/2006/relationships/hyperlink" Target="fdsup://factset/Doc%20Viewer%20Single?float_window=true&amp;positioning_strategy=center_on_screen&amp;_doc_docfn=U2FsdGVkX18yEIsyucSAw84Tp2ig7YiGg+ERGUMvRHLtAYG5L4Yl51YkebJcpBPNEspFClGcUS5QhdoODfYbRC9QPjRwheWiTQnlqqLorZQ=&amp;_app_id=central_doc_viewer&amp;center_on_screen=true&amp;width=950&amp;height=800&amp;_dd2=%26f%3Dsld%26c%3Dtrue%26os%3D234625%26oe%3D234628" TargetMode="External"/><Relationship Id="rId271" Type="http://schemas.openxmlformats.org/officeDocument/2006/relationships/hyperlink" Target="fdsup://factset/Doc%20Viewer%20Single?float_window=true&amp;positioning_strategy=center_on_screen&amp;_doc_docfn=U2FsdGVkX183M31jMCaKe7zFFekHBTMk8J3e7F8cEyibzC5DSf/eyZnLUnoYX4UTlZdqQ0jESbwAk9SHX1VVyKAqcmKft5Z/S/3+Xa2H2QA=&amp;_app_id=central_doc_viewer&amp;center_on_screen=true&amp;width=950&amp;height=800&amp;_dd2=%26f%3Dsld%26c%3Dtrue%26os%3D256999%26oe%3D257007" TargetMode="External"/><Relationship Id="rId24" Type="http://schemas.openxmlformats.org/officeDocument/2006/relationships/hyperlink" Target="fdsup://factset/Doc%20Viewer%20Single?float_window=true&amp;positioning_strategy=center_on_screen&amp;_doc_docfn=U2FsdGVkX1+QBe+TXfNehp0urdkRazN8JocwRTiC55jAzgORhwIgFh6ng5z3zQQG2MeVEtygVZ2f/tRGgqdj/LIPWkYsJxQ/3AzW4LYlhNI=&amp;_app_id=central_doc_viewer&amp;center_on_screen=true&amp;width=950&amp;height=800&amp;_dd2=%26f%3Dsld%26c%3Dtrue%26os%3D130285%26oe%3D130290" TargetMode="External"/><Relationship Id="rId66" Type="http://schemas.openxmlformats.org/officeDocument/2006/relationships/hyperlink" Target="fdsup://factset/Doc%20Viewer%20Single?float_window=true&amp;positioning_strategy=center_on_screen&amp;_doc_docfn=U2FsdGVkX1+XE5bT/eIMiR4p5hY4QhPfq9nN8waP1I9EGOjdgBvVu4dbUtCu2AuA/Pe3QJ7z/CvisevIYJN+r+3f9CDD59B7kRmoydFuAbg=&amp;_app_id=central_doc_viewer&amp;center_on_screen=true&amp;width=950&amp;height=800&amp;_dd2=%26f%3Dsld%26c%3Dtrue%26os%3D225803%26oe%3D225810" TargetMode="External"/><Relationship Id="rId131" Type="http://schemas.openxmlformats.org/officeDocument/2006/relationships/hyperlink" Target="fdsup://factset/Doc%20Viewer%20Single?float_window=true&amp;positioning_strategy=center_on_screen&amp;_doc_docfn=U2FsdGVkX19QzVXvq+b5emG/oE8+h8TO1r35lJghQPYJ/8rLQBeUydgpNwtzdDt+h+TCk1kTU16KPc/FhJ8nJbI+583hRjNXxG88aypVaFg=&amp;_app_id=central_doc_viewer&amp;center_on_screen=true&amp;width=950&amp;height=800&amp;_dd2=%26f%3Dsld%26c%3Dtrue%26os%3D230595%26oe%3D230602" TargetMode="External"/><Relationship Id="rId327" Type="http://schemas.openxmlformats.org/officeDocument/2006/relationships/hyperlink" Target="fdsup://factset/Doc%20Viewer%20Single?float_window=true&amp;positioning_strategy=center_on_screen&amp;_doc_docfn=U2FsdGVkX18YApsPWOqJS14v1CIC9jJByZtHymuBpvQOz/XJA9m+WUjb2JSaOz0VnVaIJPUvd/u64/ihHLcX/KkO/AdtYKLo3j4j0FL4UV8=&amp;_app_id=central_doc_viewer&amp;center_on_screen=true&amp;width=950&amp;height=800&amp;_dd2=%26f%3Dsld%26c%3Dtrue%26os%3D243929%26oe%3D243934" TargetMode="External"/><Relationship Id="rId173" Type="http://schemas.openxmlformats.org/officeDocument/2006/relationships/hyperlink" Target="fdsup://factset/Doc%20Viewer%20Single?float_window=true&amp;positioning_strategy=center_on_screen&amp;_doc_docfn=U2FsdGVkX1/t0wIRyKi4OrQPCdHvOsN+uU0w6Td6ib/pYrdTGfJ1tGFX3HC7R8ue6iOtUoEHJ/EX7QsExYgIfVbmOGiKTDP6D9gxi2EbI9s=&amp;_app_id=central_doc_viewer&amp;center_on_screen=true&amp;width=950&amp;height=800&amp;_dd2=%26f%3Dsld%26c%3Dtrue%26os%3D153329%26oe%3D153331" TargetMode="External"/><Relationship Id="rId229" Type="http://schemas.openxmlformats.org/officeDocument/2006/relationships/hyperlink" Target="fdsup://factset/Doc%20Viewer%20Single?float_window=true&amp;positioning_strategy=center_on_screen&amp;_doc_docfn=U2FsdGVkX19A5JtiTwil2aqf+6mTqZn6H3rw0KWQ2KBIphBZIahnZXfvRe8WtYi4Ka2UwHNeo6CZYHR1ktuBSuFMe5lIROnUY+NtV2y9wAA=&amp;_app_id=central_doc_viewer&amp;center_on_screen=true&amp;width=950&amp;height=800&amp;_dd2=%26f%3Dsld%26c%3Dtrue%26os%3D149276%26oe%3D149283" TargetMode="External"/><Relationship Id="rId240" Type="http://schemas.openxmlformats.org/officeDocument/2006/relationships/hyperlink" Target="fdsup://factset/Doc%20Viewer%20Single?float_window=true&amp;positioning_strategy=center_on_screen&amp;_doc_docfn=U2FsdGVkX19xhxfhwAi2x+caoaXGMmAqN9iOc4jeFre9KVX2M5rFLr4BnDi2RQRB46DefZ1bstlJPieGHXxqZS1GgRPcbeAii0bJoxHJwXQ=&amp;_app_id=central_doc_viewer&amp;center_on_screen=true&amp;width=950&amp;height=800&amp;_dd2=%26f%3Dsld%26c%3Dtrue%26os%3D160266%26oe%3D160271" TargetMode="External"/><Relationship Id="rId35" Type="http://schemas.openxmlformats.org/officeDocument/2006/relationships/hyperlink" Target="fdsup://factset/Doc%20Viewer%20Single?float_window=true&amp;positioning_strategy=center_on_screen&amp;_doc_docfn=U2FsdGVkX19eC6/k0kGh4WTUKLOWsDG1wJ4FJNsMC2we+/GyDPkxtCFFNayHze1E8z+bo9ln/Iag02UeBJ10t3xgdZbXEGfI2iMgOC1G2O4=&amp;_app_id=central_doc_viewer&amp;center_on_screen=true&amp;width=950&amp;height=800&amp;_dd2=%26f%3Dsld%26c%3Dtrue%26os%3D238251%26oe%3D238254" TargetMode="External"/><Relationship Id="rId77" Type="http://schemas.openxmlformats.org/officeDocument/2006/relationships/hyperlink" Target="fdsup://factset/Doc%20Viewer%20Single?float_window=true&amp;positioning_strategy=center_on_screen&amp;_doc_docfn=U2FsdGVkX1+QZK6krh18c4jKc2tAaJ0cdY4g0aqpGCOpG9jzK5BB4nkP5EIXTd4Df1R6CPch55htubG9fpiZtPJ6Cx1fz5XY0rcoGxWtSzA=&amp;_app_id=central_doc_viewer&amp;center_on_screen=true&amp;width=950&amp;height=800&amp;_dd2=%26f%3Dsld%26c%3Dtrue%26os%3D172860%26oe%3D172863" TargetMode="External"/><Relationship Id="rId100" Type="http://schemas.openxmlformats.org/officeDocument/2006/relationships/hyperlink" Target="fdsup://factset/Doc%20Viewer%20Single?float_window=true&amp;positioning_strategy=center_on_screen&amp;_doc_docfn=U2FsdGVkX19sxAd40iiY5RDbDHFjOSkE19UkTii8orGe5tMn8ifXpNIttynbjNq9oqwDoFbF7Gap95vZVSpBq30+QUx82gOBygc9fA03c60=&amp;_app_id=central_doc_viewer&amp;center_on_screen=true&amp;width=950&amp;height=800&amp;_dd2=%26f%3Dsld%26c%3Dtrue%26os%3D225807%26oe%3D225810" TargetMode="External"/><Relationship Id="rId282" Type="http://schemas.openxmlformats.org/officeDocument/2006/relationships/hyperlink" Target="fdsup://factset/Doc%20Viewer%20Single?float_window=true&amp;positioning_strategy=center_on_screen&amp;_doc_docfn=U2FsdGVkX1+0TlzzekZ3mta66xjkuyOO+WD19O8jzFi8T7staru8fun5j6qOj/jwEYJBiOIWsDb5RdCOEMZ+nAO5cO2Kq/f9IqZRAFlfbe4=&amp;_app_id=central_doc_viewer&amp;center_on_screen=true&amp;width=950&amp;height=800&amp;_dd2=%26f%3Dsld%26c%3Dtrue%26os%3D257773%26oe%3D257776" TargetMode="External"/><Relationship Id="rId338" Type="http://schemas.openxmlformats.org/officeDocument/2006/relationships/hyperlink" Target="fdsup://factset/Doc%20Viewer%20Single?float_window=true&amp;positioning_strategy=center_on_screen&amp;_doc_docfn=U2FsdGVkX1+MLYnY2WLQrPDdEoGsF4kUrorjgtEZODj5kL/RRQkLOLqdJjZNpEBZuEo0Tydp+wAH4s9t2AuAMwFnvpdlZmvfI5xMoHmvZ+A=&amp;_app_id=central_doc_viewer&amp;center_on_screen=true&amp;width=950&amp;height=800&amp;_dd2=%26f%3Dsld%26c%3Dtrue%26os%3D1138606%26oe%3D1138612" TargetMode="External"/><Relationship Id="rId8" Type="http://schemas.openxmlformats.org/officeDocument/2006/relationships/hyperlink" Target="fdsup://factset/Doc%20Viewer%20Single?float_window=true&amp;positioning_strategy=center_on_screen&amp;_doc_docfn=U2FsdGVkX1+i6UH/+0W9jysBhFXEoHDsVGEeK4XzraRTaHOiSv67X5Pc6cIMUmOxNXzb6DpvncqU6LSrNTEfkuhhD0AWeBUyo4w67JjOx4A=&amp;_app_id=central_doc_viewer&amp;center_on_screen=true&amp;width=950&amp;height=800&amp;_dd2=%26f%3Dsld%26c%3Dtrue%26os%3D232884%26oe%3D232890" TargetMode="External"/><Relationship Id="rId142" Type="http://schemas.openxmlformats.org/officeDocument/2006/relationships/hyperlink" Target="fdsup://factset/Doc%20Viewer%20Single?float_window=true&amp;positioning_strategy=center_on_screen&amp;_doc_docfn=U2FsdGVkX18JKnmVFBsAoFA3qsJaD3UlIoJos94nPy5FKARsLTIbIG3Aqf7CyrKirfhjZ8UGyJt8eO1WMpN9oMzJQFqpfVuPIlxJIx3p0e4=&amp;_app_id=central_doc_viewer&amp;center_on_screen=true&amp;width=950&amp;height=800&amp;_dd2=%26f%3Dsld%26c%3Dtrue%26os%3D397693%26oe%3D397695" TargetMode="External"/><Relationship Id="rId184" Type="http://schemas.openxmlformats.org/officeDocument/2006/relationships/hyperlink" Target="fdsup://factset/Doc%20Viewer%20Single?float_window=true&amp;positioning_strategy=center_on_screen&amp;_doc_docfn=U2FsdGVkX19x+D4McSoO6JC4svdkosNELs1l50Uo3hTyjGMSPCIUzGbNjGh8J7iRsSwflx7kqr9g/Q4Mf+eaP3dcyF/PglH2o//9piOP4Zs=&amp;_app_id=central_doc_viewer&amp;center_on_screen=true&amp;width=950&amp;height=800&amp;_dd2=%26f%3Dsld%26c%3Dtrue%26os%3D144069%26oe%3D144077" TargetMode="External"/><Relationship Id="rId251" Type="http://schemas.openxmlformats.org/officeDocument/2006/relationships/hyperlink" Target="fdsup://factset/Doc%20Viewer%20Single?float_window=true&amp;positioning_strategy=center_on_screen&amp;_doc_docfn=U2FsdGVkX18r9Y4IntuIteZBM7oba21xhWS4PiCWHGE/9LgUsfO8WWtuIY+sl4F2GxKz9lmVugXgCInyxkKi5Tg/TwDjhNv2pAXiZbmo30k=&amp;_app_id=central_doc_viewer&amp;center_on_screen=true&amp;width=950&amp;height=800&amp;_dd2=%26f%3Dsld%26c%3Dtrue%26os%3D242121%26oe%3D242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F3E6-552A-458C-B221-73F26CB14E93}">
  <dimension ref="A1:T87"/>
  <sheetViews>
    <sheetView showGridLines="0" tabSelected="1" workbookViewId="0">
      <selection activeCell="P38" sqref="P38"/>
    </sheetView>
  </sheetViews>
  <sheetFormatPr defaultRowHeight="15" x14ac:dyDescent="0.25"/>
  <cols>
    <col min="2" max="2" width="10.85546875" customWidth="1"/>
    <col min="3" max="3" width="14.28515625" customWidth="1"/>
    <col min="6" max="6" width="11.85546875" customWidth="1"/>
    <col min="8" max="8" width="11" customWidth="1"/>
    <col min="10" max="10" width="10.5703125" customWidth="1"/>
    <col min="12" max="12" width="10.140625" customWidth="1"/>
    <col min="13" max="13" width="8.5703125" customWidth="1"/>
    <col min="14" max="14" width="11.42578125" customWidth="1"/>
    <col min="18" max="18" width="12.140625" customWidth="1"/>
    <col min="20" max="20" width="11.5703125" customWidth="1"/>
  </cols>
  <sheetData>
    <row r="1" spans="1:20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8.5" x14ac:dyDescent="0.45"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4" spans="1:20" x14ac:dyDescent="0.25">
      <c r="B4" t="s">
        <v>1</v>
      </c>
      <c r="C4" s="73" t="s">
        <v>214</v>
      </c>
      <c r="E4" t="s">
        <v>4</v>
      </c>
    </row>
    <row r="5" spans="1:20" x14ac:dyDescent="0.25">
      <c r="B5" t="s">
        <v>2</v>
      </c>
      <c r="C5" s="72">
        <v>46045</v>
      </c>
      <c r="E5" t="s">
        <v>5</v>
      </c>
    </row>
    <row r="6" spans="1:20" x14ac:dyDescent="0.25">
      <c r="B6" t="s">
        <v>3</v>
      </c>
      <c r="C6" s="72">
        <v>46387</v>
      </c>
      <c r="E6" t="s">
        <v>6</v>
      </c>
    </row>
    <row r="8" spans="1:20" x14ac:dyDescent="0.25">
      <c r="A8" t="s">
        <v>7</v>
      </c>
      <c r="B8" s="2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" customHeight="1" x14ac:dyDescent="0.25"/>
    <row r="10" spans="1:20" x14ac:dyDescent="0.25">
      <c r="B10" s="6" t="s">
        <v>9</v>
      </c>
      <c r="C10" s="5"/>
      <c r="D10" s="5"/>
      <c r="E10" s="5"/>
      <c r="G10" s="6" t="s">
        <v>19</v>
      </c>
      <c r="H10" s="5"/>
      <c r="I10" s="5"/>
      <c r="J10" s="5"/>
      <c r="L10" s="6" t="s">
        <v>29</v>
      </c>
      <c r="M10" s="5"/>
      <c r="N10" s="5"/>
      <c r="O10" s="5"/>
      <c r="Q10" s="6" t="s">
        <v>30</v>
      </c>
      <c r="R10" s="5"/>
      <c r="S10" s="5"/>
      <c r="T10" s="5"/>
    </row>
    <row r="11" spans="1:20" x14ac:dyDescent="0.25">
      <c r="B11" s="7" t="s">
        <v>8</v>
      </c>
      <c r="G11" s="7" t="s">
        <v>8</v>
      </c>
      <c r="I11" s="7" t="s">
        <v>24</v>
      </c>
      <c r="J11" s="7" t="s">
        <v>25</v>
      </c>
      <c r="L11" s="7" t="s">
        <v>8</v>
      </c>
      <c r="N11" s="7" t="s">
        <v>24</v>
      </c>
      <c r="O11" s="7" t="s">
        <v>25</v>
      </c>
      <c r="Q11" s="7" t="s">
        <v>8</v>
      </c>
      <c r="S11" s="7" t="s">
        <v>24</v>
      </c>
      <c r="T11" s="7" t="s">
        <v>25</v>
      </c>
    </row>
    <row r="12" spans="1:20" x14ac:dyDescent="0.25">
      <c r="B12" t="s">
        <v>10</v>
      </c>
      <c r="E12" s="4">
        <v>1</v>
      </c>
      <c r="G12" t="s">
        <v>20</v>
      </c>
      <c r="I12" s="10" t="s">
        <v>26</v>
      </c>
      <c r="J12" s="82">
        <v>0.95</v>
      </c>
      <c r="Q12" t="s">
        <v>20</v>
      </c>
      <c r="S12" s="10" t="s">
        <v>26</v>
      </c>
      <c r="T12" s="68">
        <v>1.05</v>
      </c>
    </row>
    <row r="13" spans="1:20" x14ac:dyDescent="0.25">
      <c r="B13" t="s">
        <v>11</v>
      </c>
      <c r="E13" s="4">
        <v>1</v>
      </c>
      <c r="G13" t="s">
        <v>21</v>
      </c>
      <c r="I13" s="10" t="s">
        <v>27</v>
      </c>
      <c r="J13" s="82">
        <v>-0.1</v>
      </c>
      <c r="L13" t="s">
        <v>21</v>
      </c>
      <c r="N13" s="10" t="s">
        <v>27</v>
      </c>
      <c r="O13" s="81">
        <v>-7.4999999999999997E-2</v>
      </c>
      <c r="Q13" t="s">
        <v>21</v>
      </c>
      <c r="S13" s="10" t="s">
        <v>27</v>
      </c>
      <c r="T13" s="68">
        <v>-0.05</v>
      </c>
    </row>
    <row r="14" spans="1:20" x14ac:dyDescent="0.25">
      <c r="B14" t="s">
        <v>12</v>
      </c>
      <c r="E14" s="4">
        <v>1</v>
      </c>
      <c r="G14" t="s">
        <v>22</v>
      </c>
      <c r="I14" s="10" t="s">
        <v>26</v>
      </c>
      <c r="J14" s="82">
        <v>0.95</v>
      </c>
      <c r="N14" s="10"/>
      <c r="Q14" t="s">
        <v>22</v>
      </c>
      <c r="S14" s="10" t="s">
        <v>26</v>
      </c>
      <c r="T14" s="68">
        <v>1.05</v>
      </c>
    </row>
    <row r="15" spans="1:20" x14ac:dyDescent="0.25">
      <c r="B15" t="s">
        <v>13</v>
      </c>
      <c r="E15" s="4">
        <v>1</v>
      </c>
      <c r="G15" t="s">
        <v>23</v>
      </c>
      <c r="I15" s="10" t="s">
        <v>28</v>
      </c>
      <c r="J15" s="82">
        <v>0.34499999999999997</v>
      </c>
      <c r="L15" t="s">
        <v>23</v>
      </c>
      <c r="N15" s="10" t="s">
        <v>28</v>
      </c>
      <c r="O15" s="81">
        <v>0.36</v>
      </c>
      <c r="Q15" t="s">
        <v>23</v>
      </c>
      <c r="S15" s="10" t="s">
        <v>28</v>
      </c>
      <c r="T15" s="68">
        <v>0.375</v>
      </c>
    </row>
    <row r="17" spans="1:20" x14ac:dyDescent="0.25">
      <c r="B17" s="7" t="s">
        <v>14</v>
      </c>
    </row>
    <row r="18" spans="1:20" x14ac:dyDescent="0.25">
      <c r="B18" t="s">
        <v>12</v>
      </c>
      <c r="E18" s="82">
        <f>CHOOSE(E14,J18,O18,T18)</f>
        <v>9.0910262315941084E-2</v>
      </c>
      <c r="G18" t="s">
        <v>12</v>
      </c>
      <c r="J18" s="82">
        <f>O18+0.5%</f>
        <v>9.0910262315941084E-2</v>
      </c>
      <c r="L18" t="s">
        <v>12</v>
      </c>
      <c r="O18" s="68">
        <f>WACC!F22</f>
        <v>8.591026231594108E-2</v>
      </c>
      <c r="Q18" t="s">
        <v>12</v>
      </c>
      <c r="T18" s="82">
        <f>O18-0.5%</f>
        <v>8.0910262315941076E-2</v>
      </c>
    </row>
    <row r="19" spans="1:20" x14ac:dyDescent="0.25">
      <c r="B19" t="s">
        <v>13</v>
      </c>
      <c r="E19" s="4">
        <f>CHOOSE(E15,J19,O19,T19)</f>
        <v>0.02</v>
      </c>
      <c r="G19" t="s">
        <v>13</v>
      </c>
      <c r="J19" s="82">
        <v>0.02</v>
      </c>
      <c r="L19" t="s">
        <v>13</v>
      </c>
      <c r="O19" s="82">
        <v>2.5000000000000001E-2</v>
      </c>
      <c r="Q19" t="s">
        <v>13</v>
      </c>
      <c r="T19" s="82">
        <v>0.03</v>
      </c>
    </row>
    <row r="21" spans="1:20" x14ac:dyDescent="0.25">
      <c r="B21" s="7" t="s">
        <v>15</v>
      </c>
    </row>
    <row r="22" spans="1:20" x14ac:dyDescent="0.25">
      <c r="B22" t="s">
        <v>16</v>
      </c>
      <c r="E22" s="81">
        <v>0.12</v>
      </c>
    </row>
    <row r="23" spans="1:20" x14ac:dyDescent="0.25">
      <c r="B23" t="s">
        <v>17</v>
      </c>
      <c r="E23" s="88">
        <v>0.18</v>
      </c>
    </row>
    <row r="25" spans="1:20" x14ac:dyDescent="0.25">
      <c r="A25" t="s">
        <v>7</v>
      </c>
      <c r="B25" s="2" t="s">
        <v>18</v>
      </c>
      <c r="C25" s="1"/>
      <c r="D25" s="1"/>
      <c r="E25" s="8">
        <v>2019</v>
      </c>
      <c r="F25" s="8">
        <f>E25+1</f>
        <v>2020</v>
      </c>
      <c r="G25" s="8">
        <f t="shared" ref="G25:O25" si="0">F25+1</f>
        <v>2021</v>
      </c>
      <c r="H25" s="8">
        <f t="shared" si="0"/>
        <v>2022</v>
      </c>
      <c r="I25" s="8">
        <f t="shared" si="0"/>
        <v>2023</v>
      </c>
      <c r="J25" s="8">
        <f t="shared" si="0"/>
        <v>2024</v>
      </c>
      <c r="K25" s="9">
        <f t="shared" si="0"/>
        <v>2025</v>
      </c>
      <c r="L25" s="9">
        <f t="shared" si="0"/>
        <v>2026</v>
      </c>
      <c r="M25" s="9">
        <f t="shared" si="0"/>
        <v>2027</v>
      </c>
      <c r="N25" s="9">
        <f t="shared" si="0"/>
        <v>2028</v>
      </c>
      <c r="O25" s="9">
        <f t="shared" si="0"/>
        <v>2029</v>
      </c>
    </row>
    <row r="26" spans="1:20" x14ac:dyDescent="0.25">
      <c r="B26" t="s">
        <v>10</v>
      </c>
      <c r="E26" s="75">
        <f>'IS - Historical'!F10</f>
        <v>161857</v>
      </c>
      <c r="F26" s="75">
        <f>'IS - Historical'!G10</f>
        <v>182527</v>
      </c>
      <c r="G26" s="75">
        <f>'IS - Historical'!H10</f>
        <v>257637</v>
      </c>
      <c r="H26" s="75">
        <f>'IS - Historical'!I10</f>
        <v>282836</v>
      </c>
      <c r="I26" s="75">
        <f>'IS - Historical'!J10</f>
        <v>307394</v>
      </c>
      <c r="J26" s="75">
        <f>'IS - Historical'!K10</f>
        <v>350018</v>
      </c>
      <c r="K26" s="75">
        <f>'IS - Estimates'!H5</f>
        <v>400240</v>
      </c>
      <c r="L26" s="75">
        <f>'IS - Estimates'!I5</f>
        <v>457333</v>
      </c>
      <c r="M26" s="75">
        <f>'IS - Estimates'!J5</f>
        <v>517597</v>
      </c>
      <c r="N26" s="78">
        <f>'IS - Estimates'!K5</f>
        <v>583105</v>
      </c>
      <c r="O26" s="78">
        <f>'IS - Estimates'!L5</f>
        <v>643579</v>
      </c>
    </row>
    <row r="27" spans="1:20" x14ac:dyDescent="0.25">
      <c r="B27" s="11" t="s">
        <v>31</v>
      </c>
      <c r="F27" s="69">
        <f>F26/E26-1</f>
        <v>0.12770532012826141</v>
      </c>
      <c r="G27" s="69">
        <f t="shared" ref="G27:J27" si="1">G26/F26-1</f>
        <v>0.41150076427049154</v>
      </c>
      <c r="H27" s="69">
        <f t="shared" si="1"/>
        <v>9.7808156437157789E-2</v>
      </c>
      <c r="I27" s="69">
        <f t="shared" si="1"/>
        <v>8.6827702272695095E-2</v>
      </c>
      <c r="J27" s="69">
        <f t="shared" si="1"/>
        <v>0.13866243322901561</v>
      </c>
      <c r="K27" s="69">
        <f t="shared" ref="K27" si="2">K26/J26-1</f>
        <v>0.14348404939174553</v>
      </c>
      <c r="L27" s="69">
        <f t="shared" ref="L27" si="3">L26/K26-1</f>
        <v>0.14264691185288836</v>
      </c>
      <c r="M27" s="69">
        <f t="shared" ref="M27" si="4">M26/L26-1</f>
        <v>0.13177269079642184</v>
      </c>
      <c r="N27" s="79">
        <f t="shared" ref="N27" si="5">N26/M26-1</f>
        <v>0.12656178455439271</v>
      </c>
      <c r="O27" s="79">
        <f t="shared" ref="O27" si="6">O26/N26-1</f>
        <v>0.10371030946399018</v>
      </c>
    </row>
    <row r="28" spans="1:20" x14ac:dyDescent="0.25">
      <c r="N28" s="74"/>
      <c r="O28" s="74"/>
    </row>
    <row r="29" spans="1:20" x14ac:dyDescent="0.25">
      <c r="B29" t="s">
        <v>11</v>
      </c>
      <c r="E29" s="75">
        <f>'IS - Historical'!F23</f>
        <v>34231</v>
      </c>
      <c r="F29" s="75">
        <f>'IS - Historical'!G23</f>
        <v>41224</v>
      </c>
      <c r="G29" s="75">
        <f>'IS - Historical'!H23</f>
        <v>78714</v>
      </c>
      <c r="H29" s="75">
        <f>'IS - Historical'!I23</f>
        <v>74842</v>
      </c>
      <c r="I29" s="75">
        <f>'IS - Historical'!J23</f>
        <v>84293</v>
      </c>
      <c r="J29" s="75">
        <f>'IS - Historical'!K23</f>
        <v>112390</v>
      </c>
      <c r="K29" s="75">
        <f>'IS - Estimates'!H9</f>
        <v>130555</v>
      </c>
      <c r="L29" s="75">
        <f>'IS - Estimates'!I9</f>
        <v>153756</v>
      </c>
      <c r="M29" s="75">
        <f>'IS - Estimates'!J9</f>
        <v>179174</v>
      </c>
      <c r="N29" s="78">
        <f>'IS - Estimates'!K9</f>
        <v>204405</v>
      </c>
      <c r="O29" s="78">
        <f>'IS - Estimates'!L9</f>
        <v>232058</v>
      </c>
    </row>
    <row r="30" spans="1:20" x14ac:dyDescent="0.25">
      <c r="B30" s="11" t="s">
        <v>32</v>
      </c>
      <c r="E30" s="69">
        <f>E29/E26</f>
        <v>0.21148915400631421</v>
      </c>
      <c r="F30" s="69">
        <f t="shared" ref="F30:J30" si="7">F29/F26</f>
        <v>0.22585151785763202</v>
      </c>
      <c r="G30" s="69">
        <f t="shared" si="7"/>
        <v>0.3055228868524319</v>
      </c>
      <c r="H30" s="69">
        <f t="shared" si="7"/>
        <v>0.26461270842467011</v>
      </c>
      <c r="I30" s="69">
        <f t="shared" si="7"/>
        <v>0.27421810445226646</v>
      </c>
      <c r="J30" s="69">
        <f t="shared" si="7"/>
        <v>0.32109777211457696</v>
      </c>
      <c r="K30" s="69">
        <f t="shared" ref="K30" si="8">K29/K26</f>
        <v>0.32619178492904255</v>
      </c>
      <c r="L30" s="69">
        <f t="shared" ref="L30" si="9">L29/L26</f>
        <v>0.33620141122551839</v>
      </c>
      <c r="M30" s="69">
        <f t="shared" ref="M30" si="10">M29/M26</f>
        <v>0.34616506664451302</v>
      </c>
      <c r="N30" s="79">
        <f t="shared" ref="N30" si="11">N29/N26</f>
        <v>0.35054578506443951</v>
      </c>
      <c r="O30" s="79">
        <f t="shared" ref="O30" si="12">O29/O26</f>
        <v>0.36057422631875807</v>
      </c>
    </row>
    <row r="32" spans="1:20" x14ac:dyDescent="0.25">
      <c r="B32" t="s">
        <v>33</v>
      </c>
      <c r="E32" s="75">
        <f>-'IS - Historical'!F27</f>
        <v>5282</v>
      </c>
      <c r="F32" s="75">
        <f>-'IS - Historical'!G27</f>
        <v>7813</v>
      </c>
      <c r="G32" s="75">
        <f>-'IS - Historical'!H27</f>
        <v>14701</v>
      </c>
      <c r="H32" s="75">
        <f>-'IS - Historical'!I27</f>
        <v>11356</v>
      </c>
      <c r="I32" s="75">
        <f>-'IS - Historical'!J27</f>
        <v>11922</v>
      </c>
      <c r="J32" s="75">
        <f>-'IS - Historical'!K27</f>
        <v>19697</v>
      </c>
    </row>
    <row r="33" spans="1:16" x14ac:dyDescent="0.25">
      <c r="B33" s="11" t="s">
        <v>34</v>
      </c>
      <c r="E33" s="76">
        <f>-'IS - Historical'!F27/'IS - Historical'!F26</f>
        <v>0.13329968454258675</v>
      </c>
      <c r="F33" s="76">
        <f>-'IS - Historical'!G27/'IS - Historical'!G26</f>
        <v>0.16249324071378063</v>
      </c>
      <c r="G33" s="76">
        <f>-'IS - Historical'!H27/'IS - Historical'!H26</f>
        <v>0.16202305640663919</v>
      </c>
      <c r="H33" s="76">
        <f>-'IS - Historical'!I27/'IS - Historical'!I26</f>
        <v>0.1592081650964558</v>
      </c>
      <c r="I33" s="76">
        <f>-'IS - Historical'!J27/'IS - Historical'!J26</f>
        <v>0.13908559562280529</v>
      </c>
      <c r="J33" s="76">
        <f>-'IS - Historical'!K27/'IS - Historical'!K26</f>
        <v>0.16439510912657013</v>
      </c>
    </row>
    <row r="35" spans="1:16" x14ac:dyDescent="0.25">
      <c r="A35" t="s">
        <v>7</v>
      </c>
      <c r="B35" s="2" t="s">
        <v>40</v>
      </c>
      <c r="C35" s="1"/>
      <c r="D35" s="1"/>
      <c r="E35" s="8">
        <v>2019</v>
      </c>
      <c r="F35" s="8">
        <f>E35+1</f>
        <v>2020</v>
      </c>
      <c r="G35" s="8">
        <f t="shared" ref="G35:O35" si="13">F35+1</f>
        <v>2021</v>
      </c>
      <c r="H35" s="8">
        <f t="shared" si="13"/>
        <v>2022</v>
      </c>
      <c r="I35" s="8">
        <f t="shared" si="13"/>
        <v>2023</v>
      </c>
      <c r="J35" s="8">
        <f t="shared" si="13"/>
        <v>2024</v>
      </c>
      <c r="K35" s="9">
        <f t="shared" si="13"/>
        <v>2025</v>
      </c>
      <c r="L35" s="9">
        <f t="shared" si="13"/>
        <v>2026</v>
      </c>
      <c r="M35" s="9">
        <f t="shared" si="13"/>
        <v>2027</v>
      </c>
      <c r="N35" s="9">
        <f t="shared" si="13"/>
        <v>2028</v>
      </c>
      <c r="O35" s="9">
        <f t="shared" si="13"/>
        <v>2029</v>
      </c>
    </row>
    <row r="36" spans="1:16" x14ac:dyDescent="0.25">
      <c r="B36" t="s">
        <v>35</v>
      </c>
      <c r="E36" s="75">
        <f>'CFS - Historicals'!F13</f>
        <v>10856</v>
      </c>
      <c r="F36" s="75">
        <f>'CFS - Historicals'!G13</f>
        <v>12905</v>
      </c>
      <c r="G36" s="75">
        <f>'CFS - Historicals'!H13</f>
        <v>11555</v>
      </c>
      <c r="H36" s="75">
        <f>'CFS - Historicals'!I13</f>
        <v>15287</v>
      </c>
      <c r="I36" s="75">
        <f>'CFS - Historicals'!J13</f>
        <v>11946</v>
      </c>
      <c r="J36" s="75">
        <f>'CFS - Historicals'!K13</f>
        <v>15311</v>
      </c>
      <c r="K36" s="75">
        <f>'CFS - Estimates'!H12</f>
        <v>21703</v>
      </c>
      <c r="L36" s="75">
        <f>'CFS - Estimates'!I12</f>
        <v>30959.5</v>
      </c>
      <c r="M36" s="78">
        <f>'CFS - Estimates'!J12</f>
        <v>42393.9</v>
      </c>
      <c r="N36" s="78">
        <f>'CFS - Estimates'!K12</f>
        <v>58174.5</v>
      </c>
      <c r="O36" s="78">
        <f>'CFS - Estimates'!L12</f>
        <v>74564.100000000006</v>
      </c>
    </row>
    <row r="37" spans="1:16" x14ac:dyDescent="0.25">
      <c r="B37" t="s">
        <v>32</v>
      </c>
      <c r="E37" s="76">
        <f>E36/E26</f>
        <v>6.7071550813372294E-2</v>
      </c>
      <c r="F37" s="76">
        <f t="shared" ref="F37:J37" si="14">F36/F26</f>
        <v>7.0701868764621131E-2</v>
      </c>
      <c r="G37" s="76">
        <f t="shared" si="14"/>
        <v>4.4849924506185058E-2</v>
      </c>
      <c r="H37" s="76">
        <f t="shared" si="14"/>
        <v>5.4048989520428803E-2</v>
      </c>
      <c r="I37" s="76">
        <f t="shared" si="14"/>
        <v>3.8862176880485634E-2</v>
      </c>
      <c r="J37" s="76">
        <f t="shared" si="14"/>
        <v>4.3743464621819446E-2</v>
      </c>
      <c r="K37" s="76">
        <f t="shared" ref="K37" si="15">K36/K26</f>
        <v>5.4224965020987406E-2</v>
      </c>
      <c r="L37" s="76">
        <f t="shared" ref="L37" si="16">L36/L26</f>
        <v>6.7695749049379778E-2</v>
      </c>
      <c r="M37" s="87">
        <f t="shared" ref="M37" si="17">M36/M26</f>
        <v>8.1905227425970395E-2</v>
      </c>
      <c r="N37" s="87">
        <f t="shared" ref="N37" si="18">N36/N26</f>
        <v>9.9766765848346359E-2</v>
      </c>
      <c r="O37" s="87">
        <f t="shared" ref="O37" si="19">O36/O26</f>
        <v>0.11585850377342953</v>
      </c>
    </row>
    <row r="38" spans="1:16" x14ac:dyDescent="0.25">
      <c r="M38" s="74"/>
      <c r="N38" s="74"/>
      <c r="O38" s="74"/>
    </row>
    <row r="39" spans="1:16" x14ac:dyDescent="0.25">
      <c r="B39" t="s">
        <v>36</v>
      </c>
      <c r="E39" s="75">
        <f>-'CFS - Historicals'!F38</f>
        <v>22959</v>
      </c>
      <c r="F39" s="75">
        <f>-'CFS - Historicals'!G38</f>
        <v>22213</v>
      </c>
      <c r="G39" s="75">
        <f>-'CFS - Historicals'!H38</f>
        <v>24099</v>
      </c>
      <c r="H39" s="75">
        <f>-'CFS - Historicals'!I38</f>
        <v>29896</v>
      </c>
      <c r="I39" s="75">
        <f>-'CFS - Historicals'!J38</f>
        <v>33302</v>
      </c>
      <c r="J39" s="75">
        <f>-'CFS - Historicals'!K38</f>
        <v>55202</v>
      </c>
      <c r="K39" s="75">
        <f>'CFS - Estimates'!H5</f>
        <v>89125.8</v>
      </c>
      <c r="L39" s="75">
        <f>'CFS - Estimates'!I5</f>
        <v>115437</v>
      </c>
      <c r="M39" s="78">
        <f>'CFS - Estimates'!J5</f>
        <v>131411</v>
      </c>
      <c r="N39" s="78">
        <f>'CFS - Estimates'!K5</f>
        <v>137222</v>
      </c>
      <c r="O39" s="78">
        <f>'CFS - Estimates'!L5</f>
        <v>140447</v>
      </c>
    </row>
    <row r="40" spans="1:16" x14ac:dyDescent="0.25">
      <c r="B40" s="12" t="s">
        <v>32</v>
      </c>
      <c r="E40" s="76">
        <f>E39/E26</f>
        <v>0.1418474332280964</v>
      </c>
      <c r="F40" s="76">
        <f t="shared" ref="F40:J40" si="20">F39/F26</f>
        <v>0.12169706399601155</v>
      </c>
      <c r="G40" s="76">
        <f t="shared" si="20"/>
        <v>9.3538583355651558E-2</v>
      </c>
      <c r="H40" s="76">
        <f t="shared" si="20"/>
        <v>0.1057008301630627</v>
      </c>
      <c r="I40" s="76">
        <f t="shared" si="20"/>
        <v>0.10833653226803386</v>
      </c>
      <c r="J40" s="76">
        <f t="shared" si="20"/>
        <v>0.15771188910284614</v>
      </c>
      <c r="K40" s="76">
        <f t="shared" ref="K40" si="21">K39/K26</f>
        <v>0.22268089146512093</v>
      </c>
      <c r="L40" s="76">
        <f t="shared" ref="L40" si="22">L39/L26</f>
        <v>0.25241344928093973</v>
      </c>
      <c r="M40" s="87">
        <f t="shared" ref="M40" si="23">M39/M26</f>
        <v>0.25388671108990196</v>
      </c>
      <c r="N40" s="87">
        <f t="shared" ref="N40" si="24">N39/N26</f>
        <v>0.2353298291045352</v>
      </c>
      <c r="O40" s="87">
        <f t="shared" ref="O40" si="25">O39/O26</f>
        <v>0.21822806524140781</v>
      </c>
    </row>
    <row r="42" spans="1:16" x14ac:dyDescent="0.25">
      <c r="B42" t="s">
        <v>37</v>
      </c>
      <c r="E42" s="75">
        <f>'CFS - Historicals'!F27</f>
        <v>819</v>
      </c>
      <c r="F42" s="75">
        <f>'CFS - Historicals'!G27</f>
        <v>1827</v>
      </c>
      <c r="G42" s="75">
        <f>'CFS - Historicals'!H27</f>
        <v>-1523</v>
      </c>
      <c r="H42" s="75">
        <f>'CFS - Historicals'!I27</f>
        <v>-2235</v>
      </c>
      <c r="I42" s="75">
        <f>'CFS - Historicals'!J27</f>
        <v>-3845</v>
      </c>
      <c r="J42" s="75">
        <f>'CFS - Historicals'!K27</f>
        <v>-8406</v>
      </c>
    </row>
    <row r="43" spans="1:16" x14ac:dyDescent="0.25">
      <c r="B43" s="12" t="s">
        <v>32</v>
      </c>
      <c r="E43" s="76">
        <f>E42/E26</f>
        <v>5.0600221182896012E-3</v>
      </c>
      <c r="F43" s="76">
        <f t="shared" ref="F43:J43" si="26">F42/F26</f>
        <v>1.0009478049822766E-2</v>
      </c>
      <c r="G43" s="76">
        <f t="shared" si="26"/>
        <v>-5.9114180028489701E-3</v>
      </c>
      <c r="H43" s="76">
        <f t="shared" si="26"/>
        <v>-7.9021058139699327E-3</v>
      </c>
      <c r="I43" s="76">
        <f t="shared" si="26"/>
        <v>-1.25083768713768E-2</v>
      </c>
      <c r="J43" s="76">
        <f t="shared" si="26"/>
        <v>-2.4015907753315545E-2</v>
      </c>
    </row>
    <row r="44" spans="1:16" x14ac:dyDescent="0.25">
      <c r="L44">
        <v>1</v>
      </c>
      <c r="M44">
        <f>L44+1</f>
        <v>2</v>
      </c>
      <c r="N44">
        <f t="shared" ref="N44:P44" si="27">M44+1</f>
        <v>3</v>
      </c>
      <c r="O44">
        <f t="shared" si="27"/>
        <v>4</v>
      </c>
      <c r="P44">
        <f t="shared" si="27"/>
        <v>5</v>
      </c>
    </row>
    <row r="45" spans="1:16" x14ac:dyDescent="0.25">
      <c r="A45" s="86" t="s">
        <v>7</v>
      </c>
      <c r="B45" s="2" t="s">
        <v>38</v>
      </c>
      <c r="C45" s="2"/>
      <c r="D45" s="2"/>
      <c r="E45" s="8">
        <f>E35</f>
        <v>2019</v>
      </c>
      <c r="F45" s="8">
        <f>E45+1</f>
        <v>2020</v>
      </c>
      <c r="G45" s="8">
        <f t="shared" ref="G45:P45" si="28">F45+1</f>
        <v>2021</v>
      </c>
      <c r="H45" s="8">
        <f t="shared" si="28"/>
        <v>2022</v>
      </c>
      <c r="I45" s="8">
        <f t="shared" si="28"/>
        <v>2023</v>
      </c>
      <c r="J45" s="8">
        <f t="shared" si="28"/>
        <v>2024</v>
      </c>
      <c r="K45" s="13">
        <f t="shared" si="28"/>
        <v>2025</v>
      </c>
      <c r="L45" s="13">
        <f t="shared" si="28"/>
        <v>2026</v>
      </c>
      <c r="M45" s="13">
        <f t="shared" si="28"/>
        <v>2027</v>
      </c>
      <c r="N45" s="13">
        <f t="shared" si="28"/>
        <v>2028</v>
      </c>
      <c r="O45" s="13">
        <f t="shared" si="28"/>
        <v>2029</v>
      </c>
      <c r="P45" s="13">
        <f t="shared" si="28"/>
        <v>2030</v>
      </c>
    </row>
    <row r="46" spans="1:16" x14ac:dyDescent="0.25">
      <c r="B46" t="s">
        <v>10</v>
      </c>
      <c r="E46" s="77">
        <f>E26</f>
        <v>161857</v>
      </c>
      <c r="F46" s="77">
        <f t="shared" ref="F46:K46" si="29">F26</f>
        <v>182527</v>
      </c>
      <c r="G46" s="77">
        <f t="shared" si="29"/>
        <v>257637</v>
      </c>
      <c r="H46" s="77">
        <f t="shared" si="29"/>
        <v>282836</v>
      </c>
      <c r="I46" s="77">
        <f t="shared" si="29"/>
        <v>307394</v>
      </c>
      <c r="J46" s="77">
        <f t="shared" si="29"/>
        <v>350018</v>
      </c>
      <c r="K46" s="77">
        <f t="shared" si="29"/>
        <v>400240</v>
      </c>
      <c r="L46" s="67">
        <f ca="1">K46*(1+L47)</f>
        <v>454478.35000000003</v>
      </c>
      <c r="M46" s="67">
        <f t="shared" ref="M46:P46" ca="1" si="30">L46*(1+M47)</f>
        <v>511371.79333380709</v>
      </c>
      <c r="N46" s="67">
        <f t="shared" ca="1" si="30"/>
        <v>568985.82914407144</v>
      </c>
      <c r="O46" s="67">
        <f t="shared" ca="1" si="30"/>
        <v>626680.47192034323</v>
      </c>
      <c r="P46" s="67">
        <f t="shared" ca="1" si="30"/>
        <v>683870.81603669771</v>
      </c>
    </row>
    <row r="47" spans="1:16" x14ac:dyDescent="0.25">
      <c r="B47" s="11" t="s">
        <v>31</v>
      </c>
      <c r="F47" s="76">
        <f>F27</f>
        <v>0.12770532012826141</v>
      </c>
      <c r="G47" s="76">
        <f t="shared" ref="G47:K47" si="31">G27</f>
        <v>0.41150076427049154</v>
      </c>
      <c r="H47" s="76">
        <f t="shared" si="31"/>
        <v>9.7808156437157789E-2</v>
      </c>
      <c r="I47" s="76">
        <f t="shared" si="31"/>
        <v>8.6827702272695095E-2</v>
      </c>
      <c r="J47" s="76">
        <f t="shared" si="31"/>
        <v>0.13866243322901561</v>
      </c>
      <c r="K47" s="76">
        <f t="shared" si="31"/>
        <v>0.14348404939174553</v>
      </c>
      <c r="L47" s="76">
        <f ca="1">OFFSET(L47,$E$12,0)</f>
        <v>0.13551456626024394</v>
      </c>
      <c r="M47" s="76">
        <f t="shared" ref="M47:P47" ca="1" si="32">OFFSET(M47,$E$12,0)</f>
        <v>0.12518405625660076</v>
      </c>
      <c r="N47" s="76">
        <f t="shared" ca="1" si="32"/>
        <v>0.11266565063094068</v>
      </c>
      <c r="O47" s="76">
        <f t="shared" ca="1" si="32"/>
        <v>0.10139908556784662</v>
      </c>
      <c r="P47" s="76">
        <f t="shared" ca="1" si="32"/>
        <v>9.1259177011061954E-2</v>
      </c>
    </row>
    <row r="48" spans="1:16" x14ac:dyDescent="0.25">
      <c r="B48" s="11" t="s">
        <v>19</v>
      </c>
      <c r="L48" s="84">
        <f>L49*$J$12</f>
        <v>0.13551456626024394</v>
      </c>
      <c r="M48" s="84">
        <f>M49*$J$12</f>
        <v>0.12518405625660076</v>
      </c>
      <c r="N48" s="80">
        <f>M48*(1+$J$13)</f>
        <v>0.11266565063094068</v>
      </c>
      <c r="O48" s="80">
        <f t="shared" ref="O48:P48" si="33">N48*(1+$J$13)</f>
        <v>0.10139908556784662</v>
      </c>
      <c r="P48" s="80">
        <f t="shared" si="33"/>
        <v>9.1259177011061954E-2</v>
      </c>
    </row>
    <row r="49" spans="2:16" x14ac:dyDescent="0.25">
      <c r="B49" s="11" t="s">
        <v>39</v>
      </c>
      <c r="L49" s="83">
        <f>L27</f>
        <v>0.14264691185288836</v>
      </c>
      <c r="M49" s="83">
        <f>M27</f>
        <v>0.13177269079642184</v>
      </c>
      <c r="N49" s="80">
        <f>M49*(1+$O$13)</f>
        <v>0.12188973898669021</v>
      </c>
      <c r="O49" s="80">
        <f t="shared" ref="O49:P49" si="34">N49*(1+$O$13)</f>
        <v>0.11274800856268845</v>
      </c>
      <c r="P49" s="80">
        <f t="shared" si="34"/>
        <v>0.10429190792048681</v>
      </c>
    </row>
    <row r="50" spans="2:16" x14ac:dyDescent="0.25">
      <c r="B50" s="11" t="s">
        <v>30</v>
      </c>
      <c r="L50" s="84">
        <f>L49*$T$12</f>
        <v>0.14977925744553278</v>
      </c>
      <c r="M50" s="84">
        <f>M49*$T$12</f>
        <v>0.13836132533624293</v>
      </c>
      <c r="N50" s="80">
        <f>M50*(1+T13)</f>
        <v>0.13144325906943077</v>
      </c>
      <c r="O50" s="80">
        <f t="shared" ref="O50:P50" si="35">N50*(1+U13)</f>
        <v>0.13144325906943077</v>
      </c>
      <c r="P50" s="80">
        <f t="shared" si="35"/>
        <v>0.13144325906943077</v>
      </c>
    </row>
    <row r="52" spans="2:16" x14ac:dyDescent="0.25">
      <c r="B52" t="s">
        <v>11</v>
      </c>
      <c r="E52" s="77">
        <f>E29</f>
        <v>34231</v>
      </c>
      <c r="F52" s="77">
        <f t="shared" ref="F52:K52" si="36">F29</f>
        <v>41224</v>
      </c>
      <c r="G52" s="77">
        <f t="shared" si="36"/>
        <v>78714</v>
      </c>
      <c r="H52" s="77">
        <f t="shared" si="36"/>
        <v>74842</v>
      </c>
      <c r="I52" s="77">
        <f t="shared" si="36"/>
        <v>84293</v>
      </c>
      <c r="J52" s="77">
        <f t="shared" si="36"/>
        <v>112390</v>
      </c>
      <c r="K52" s="77">
        <f t="shared" si="36"/>
        <v>130555</v>
      </c>
      <c r="L52" s="77">
        <f ca="1">L53*L46</f>
        <v>152796.26264144509</v>
      </c>
      <c r="M52" s="77">
        <f t="shared" ref="M52:P52" ca="1" si="37">M53*M46</f>
        <v>177019.05091952148</v>
      </c>
      <c r="N52" s="77">
        <f t="shared" ca="1" si="37"/>
        <v>199586.97780758256</v>
      </c>
      <c r="O52" s="77">
        <f t="shared" ca="1" si="37"/>
        <v>224159.95613062306</v>
      </c>
      <c r="P52" s="77">
        <f t="shared" ca="1" si="37"/>
        <v>246193.49377321117</v>
      </c>
    </row>
    <row r="53" spans="2:16" x14ac:dyDescent="0.25">
      <c r="B53" s="11" t="s">
        <v>32</v>
      </c>
      <c r="E53" s="76">
        <f>E30</f>
        <v>0.21148915400631421</v>
      </c>
      <c r="F53" s="76">
        <f t="shared" ref="F53:K53" si="38">F30</f>
        <v>0.22585151785763202</v>
      </c>
      <c r="G53" s="76">
        <f t="shared" si="38"/>
        <v>0.3055228868524319</v>
      </c>
      <c r="H53" s="76">
        <f t="shared" si="38"/>
        <v>0.26461270842467011</v>
      </c>
      <c r="I53" s="76">
        <f t="shared" si="38"/>
        <v>0.27421810445226646</v>
      </c>
      <c r="J53" s="76">
        <f t="shared" si="38"/>
        <v>0.32109777211457696</v>
      </c>
      <c r="K53" s="76">
        <f t="shared" si="38"/>
        <v>0.32619178492904255</v>
      </c>
      <c r="L53" s="76">
        <f ca="1">OFFSET(L54,$E$13,0)</f>
        <v>0.33620141122551839</v>
      </c>
      <c r="M53" s="76">
        <f t="shared" ref="M53:P53" ca="1" si="39">OFFSET(M54,$E$13,0)</f>
        <v>0.34616506664451302</v>
      </c>
      <c r="N53" s="76">
        <f t="shared" ca="1" si="39"/>
        <v>0.35077671109634201</v>
      </c>
      <c r="O53" s="76">
        <f t="shared" ca="1" si="39"/>
        <v>0.35769417777408552</v>
      </c>
      <c r="P53" s="76">
        <f t="shared" ca="1" si="39"/>
        <v>0.36</v>
      </c>
    </row>
    <row r="54" spans="2:16" x14ac:dyDescent="0.25">
      <c r="B54" s="11" t="s">
        <v>19</v>
      </c>
      <c r="L54" s="84">
        <f>L55*$J$14</f>
        <v>0.31939134066424246</v>
      </c>
      <c r="M54" s="84">
        <f>M55*$J$14</f>
        <v>0.32885681331228733</v>
      </c>
      <c r="N54" s="80">
        <f>M54+(($P$54-$M$54)/($P$45-$M$45))</f>
        <v>0.3342378755415249</v>
      </c>
      <c r="O54" s="80">
        <f>N54+(($P$54-$M$54)/($P$45-$M$45))</f>
        <v>0.33961893777076246</v>
      </c>
      <c r="P54" s="83">
        <f>J15</f>
        <v>0.34499999999999997</v>
      </c>
    </row>
    <row r="55" spans="2:16" x14ac:dyDescent="0.25">
      <c r="B55" s="11" t="s">
        <v>39</v>
      </c>
      <c r="L55" s="85">
        <f>L30</f>
        <v>0.33620141122551839</v>
      </c>
      <c r="M55" s="85">
        <f>M30</f>
        <v>0.34616506664451302</v>
      </c>
      <c r="N55" s="80">
        <f>M55+(($P$55-$M$55)/($P$45-M45))</f>
        <v>0.35077671109634201</v>
      </c>
      <c r="O55" s="80">
        <f>N55+(($P$55-$M$55)/($P$45-N45))</f>
        <v>0.35769417777408552</v>
      </c>
      <c r="P55" s="85">
        <f>O15</f>
        <v>0.36</v>
      </c>
    </row>
    <row r="56" spans="2:16" x14ac:dyDescent="0.25">
      <c r="B56" s="11" t="s">
        <v>30</v>
      </c>
      <c r="L56" s="80">
        <f>L55*$T$14</f>
        <v>0.35301148178679431</v>
      </c>
      <c r="M56" s="80">
        <f>M55*$T$14</f>
        <v>0.36347331997673871</v>
      </c>
      <c r="N56" s="80">
        <f>M56+(($P$56-$M$56)/($P$45-M45))</f>
        <v>0.36731554665115912</v>
      </c>
      <c r="O56" s="80">
        <f>N56+(($P$56-$M$56)/($P$45-M45))</f>
        <v>0.37115777332557953</v>
      </c>
      <c r="P56" s="83">
        <f>T15</f>
        <v>0.375</v>
      </c>
    </row>
    <row r="58" spans="2:16" x14ac:dyDescent="0.25">
      <c r="B58" t="s">
        <v>33</v>
      </c>
      <c r="E58" s="67">
        <f>E52*E59</f>
        <v>4562.9815015772874</v>
      </c>
      <c r="F58" s="67">
        <f t="shared" ref="F58:J58" si="40">F52*F59</f>
        <v>6698.6213551848923</v>
      </c>
      <c r="G58" s="67">
        <f t="shared" si="40"/>
        <v>12753.482861992197</v>
      </c>
      <c r="H58" s="67">
        <f t="shared" si="40"/>
        <v>11915.457492148946</v>
      </c>
      <c r="I58" s="67">
        <f t="shared" si="40"/>
        <v>11723.942111833127</v>
      </c>
      <c r="J58" s="67">
        <f t="shared" si="40"/>
        <v>18476.366314735216</v>
      </c>
      <c r="K58" s="89">
        <f>K52*K59</f>
        <v>20554.714114655777</v>
      </c>
      <c r="L58" s="67">
        <f t="shared" ref="L58:P58" ca="1" si="41">L52*L59</f>
        <v>24056.401488895583</v>
      </c>
      <c r="M58" s="67">
        <f t="shared" ca="1" si="41"/>
        <v>27870.062307061839</v>
      </c>
      <c r="N58" s="67">
        <f t="shared" ca="1" si="41"/>
        <v>31423.18003786149</v>
      </c>
      <c r="O58" s="67">
        <f t="shared" ca="1" si="41"/>
        <v>35291.975138590926</v>
      </c>
      <c r="P58" s="67">
        <f t="shared" ca="1" si="41"/>
        <v>38760.958074349073</v>
      </c>
    </row>
    <row r="59" spans="2:16" x14ac:dyDescent="0.25">
      <c r="B59" s="11" t="s">
        <v>34</v>
      </c>
      <c r="E59" s="92">
        <f>E33</f>
        <v>0.13329968454258675</v>
      </c>
      <c r="F59" s="92">
        <f t="shared" ref="F59:J59" si="42">F33</f>
        <v>0.16249324071378063</v>
      </c>
      <c r="G59" s="92">
        <f t="shared" si="42"/>
        <v>0.16202305640663919</v>
      </c>
      <c r="H59" s="92">
        <f t="shared" si="42"/>
        <v>0.1592081650964558</v>
      </c>
      <c r="I59" s="92">
        <f t="shared" si="42"/>
        <v>0.13908559562280529</v>
      </c>
      <c r="J59" s="92">
        <f t="shared" si="42"/>
        <v>0.16439510912657013</v>
      </c>
      <c r="K59" s="90">
        <f>AVERAGE(F59:J59)</f>
        <v>0.15744103339325019</v>
      </c>
      <c r="L59" s="92">
        <f>K59</f>
        <v>0.15744103339325019</v>
      </c>
      <c r="M59" s="92">
        <f t="shared" ref="M59:P59" si="43">L59</f>
        <v>0.15744103339325019</v>
      </c>
      <c r="N59" s="92">
        <f t="shared" si="43"/>
        <v>0.15744103339325019</v>
      </c>
      <c r="O59" s="92">
        <f t="shared" si="43"/>
        <v>0.15744103339325019</v>
      </c>
      <c r="P59" s="92">
        <f t="shared" si="43"/>
        <v>0.15744103339325019</v>
      </c>
    </row>
    <row r="61" spans="2:16" x14ac:dyDescent="0.25">
      <c r="B61" s="14" t="s">
        <v>41</v>
      </c>
      <c r="C61" s="15"/>
      <c r="D61" s="15"/>
      <c r="E61" s="15"/>
      <c r="F61" s="15"/>
      <c r="G61" s="15"/>
      <c r="H61" s="15"/>
      <c r="I61" s="15"/>
      <c r="J61" s="15"/>
      <c r="K61" s="15"/>
      <c r="L61" s="93">
        <f ca="1">L52-L58</f>
        <v>128739.86115254951</v>
      </c>
      <c r="M61" s="93">
        <f t="shared" ref="M61:P61" ca="1" si="44">M52-M58</f>
        <v>149148.98861245965</v>
      </c>
      <c r="N61" s="93">
        <f t="shared" ca="1" si="44"/>
        <v>168163.79776972107</v>
      </c>
      <c r="O61" s="93">
        <f t="shared" ca="1" si="44"/>
        <v>188867.98099203213</v>
      </c>
      <c r="P61" s="93">
        <f t="shared" ca="1" si="44"/>
        <v>207432.53569886211</v>
      </c>
    </row>
    <row r="63" spans="2:16" x14ac:dyDescent="0.25">
      <c r="B63" t="s">
        <v>35</v>
      </c>
      <c r="E63" s="94">
        <f>E36</f>
        <v>10856</v>
      </c>
      <c r="F63" s="94">
        <f t="shared" ref="F63:J63" si="45">F36</f>
        <v>12905</v>
      </c>
      <c r="G63" s="94">
        <f t="shared" si="45"/>
        <v>11555</v>
      </c>
      <c r="H63" s="94">
        <f t="shared" si="45"/>
        <v>15287</v>
      </c>
      <c r="I63" s="94">
        <f t="shared" si="45"/>
        <v>11946</v>
      </c>
      <c r="J63" s="94">
        <f t="shared" si="45"/>
        <v>15311</v>
      </c>
      <c r="K63" s="89">
        <f>K64*K46</f>
        <v>21703</v>
      </c>
      <c r="L63" s="89">
        <f ca="1">L64*L46</f>
        <v>30766.252329976192</v>
      </c>
      <c r="M63" s="91">
        <f ca="1">M64*M46</f>
        <v>41304.426244356735</v>
      </c>
      <c r="N63" s="91">
        <f t="shared" ref="N63:P63" ca="1" si="46">N64*N46</f>
        <v>53398.110699839446</v>
      </c>
      <c r="O63" s="91">
        <f t="shared" ca="1" si="46"/>
        <v>67007.143463147484</v>
      </c>
      <c r="P63" s="91">
        <f t="shared" ca="1" si="46"/>
        <v>82064.497924403724</v>
      </c>
    </row>
    <row r="64" spans="2:16" x14ac:dyDescent="0.25">
      <c r="B64" s="11" t="s">
        <v>32</v>
      </c>
      <c r="E64" s="76">
        <f>E63/E$46</f>
        <v>6.7071550813372294E-2</v>
      </c>
      <c r="F64" s="76">
        <f t="shared" ref="F64:J64" si="47">F63/F$46</f>
        <v>7.0701868764621131E-2</v>
      </c>
      <c r="G64" s="76">
        <f t="shared" si="47"/>
        <v>4.4849924506185058E-2</v>
      </c>
      <c r="H64" s="76">
        <f t="shared" si="47"/>
        <v>5.4048989520428803E-2</v>
      </c>
      <c r="I64" s="76">
        <f t="shared" si="47"/>
        <v>3.8862176880485634E-2</v>
      </c>
      <c r="J64" s="76">
        <f t="shared" si="47"/>
        <v>4.3743464621819446E-2</v>
      </c>
      <c r="K64" s="90">
        <f>K37</f>
        <v>5.4224965020987406E-2</v>
      </c>
      <c r="L64" s="90">
        <f t="shared" ref="L64" si="48">L37</f>
        <v>6.7695749049379778E-2</v>
      </c>
      <c r="M64" s="76">
        <f>L64+(($P$64-$L$64)/($P$45-$L$45))</f>
        <v>8.0771811787034825E-2</v>
      </c>
      <c r="N64" s="76">
        <f t="shared" ref="N64:O64" si="49">M64+(($P$64-$L$64)/($P$45-$L$45))</f>
        <v>9.3847874524689873E-2</v>
      </c>
      <c r="O64" s="76">
        <f t="shared" si="49"/>
        <v>0.10692393726234492</v>
      </c>
      <c r="P64" s="88">
        <f>E22</f>
        <v>0.12</v>
      </c>
    </row>
    <row r="66" spans="2:16" x14ac:dyDescent="0.25">
      <c r="B66" t="s">
        <v>36</v>
      </c>
      <c r="E66" s="94">
        <f>E39</f>
        <v>22959</v>
      </c>
      <c r="F66" s="94">
        <f t="shared" ref="F66:J66" si="50">F39</f>
        <v>22213</v>
      </c>
      <c r="G66" s="94">
        <f t="shared" si="50"/>
        <v>24099</v>
      </c>
      <c r="H66" s="94">
        <f t="shared" si="50"/>
        <v>29896</v>
      </c>
      <c r="I66" s="94">
        <f t="shared" si="50"/>
        <v>33302</v>
      </c>
      <c r="J66" s="94">
        <f t="shared" si="50"/>
        <v>55202</v>
      </c>
      <c r="K66" s="89">
        <f>K67*K46</f>
        <v>89125.8</v>
      </c>
      <c r="L66" s="89">
        <f ca="1">L67*L46</f>
        <v>114716.44794701018</v>
      </c>
      <c r="M66" s="67">
        <f ca="1">M67*M46</f>
        <v>119819.5693652959</v>
      </c>
      <c r="N66" s="67">
        <f t="shared" ref="N66:P66" ca="1" si="51">N67*N46</f>
        <v>123018.56248608169</v>
      </c>
      <c r="O66" s="67">
        <f t="shared" ca="1" si="51"/>
        <v>124147.50858785157</v>
      </c>
      <c r="P66" s="67">
        <f t="shared" ca="1" si="51"/>
        <v>123096.74688660559</v>
      </c>
    </row>
    <row r="67" spans="2:16" x14ac:dyDescent="0.25">
      <c r="B67" s="11" t="s">
        <v>32</v>
      </c>
      <c r="E67" s="76">
        <f>E66/E46</f>
        <v>0.1418474332280964</v>
      </c>
      <c r="F67" s="76">
        <f t="shared" ref="F67:J67" si="52">F66/F46</f>
        <v>0.12169706399601155</v>
      </c>
      <c r="G67" s="76">
        <f t="shared" si="52"/>
        <v>9.3538583355651558E-2</v>
      </c>
      <c r="H67" s="76">
        <f t="shared" si="52"/>
        <v>0.1057008301630627</v>
      </c>
      <c r="I67" s="76">
        <f t="shared" si="52"/>
        <v>0.10833653226803386</v>
      </c>
      <c r="J67" s="76">
        <f t="shared" si="52"/>
        <v>0.15771188910284614</v>
      </c>
      <c r="K67" s="90">
        <f>K40</f>
        <v>0.22268089146512093</v>
      </c>
      <c r="L67" s="90">
        <f>L40</f>
        <v>0.25241344928093973</v>
      </c>
      <c r="M67" s="76">
        <f>L67-(($L$67-$P$67)/($P$45-$L$45))</f>
        <v>0.23431008696070479</v>
      </c>
      <c r="N67" s="76">
        <f t="shared" ref="N67:O67" si="53">M67-(($L$67-$P$67)/($P$45-$L$45))</f>
        <v>0.21620672464046986</v>
      </c>
      <c r="O67" s="76">
        <f t="shared" si="53"/>
        <v>0.19810336232023493</v>
      </c>
      <c r="P67" s="88">
        <f>E23</f>
        <v>0.18</v>
      </c>
    </row>
    <row r="69" spans="2:16" x14ac:dyDescent="0.25">
      <c r="B69" t="s">
        <v>37</v>
      </c>
      <c r="E69" s="94">
        <f>E42</f>
        <v>819</v>
      </c>
      <c r="F69" s="94">
        <f t="shared" ref="F69:J69" si="54">F42</f>
        <v>1827</v>
      </c>
      <c r="G69" s="94">
        <f t="shared" si="54"/>
        <v>-1523</v>
      </c>
      <c r="H69" s="94">
        <f t="shared" si="54"/>
        <v>-2235</v>
      </c>
      <c r="I69" s="94">
        <f t="shared" si="54"/>
        <v>-3845</v>
      </c>
      <c r="J69" s="94">
        <f t="shared" si="54"/>
        <v>-8406</v>
      </c>
      <c r="K69" s="89">
        <f>K70*K46</f>
        <v>-3228.2021911938796</v>
      </c>
      <c r="L69" s="91">
        <f t="shared" ref="L69:P69" ca="1" si="55">L70*L46</f>
        <v>-3665.6706109338875</v>
      </c>
      <c r="M69" s="91">
        <f t="shared" ca="1" si="55"/>
        <v>-4124.5541269112027</v>
      </c>
      <c r="N69" s="91">
        <f t="shared" ca="1" si="55"/>
        <v>-4589.2497011821852</v>
      </c>
      <c r="O69" s="91">
        <f t="shared" ca="1" si="55"/>
        <v>-5054.5954243245715</v>
      </c>
      <c r="P69" s="91">
        <f t="shared" ca="1" si="55"/>
        <v>-5515.8736428723123</v>
      </c>
    </row>
    <row r="70" spans="2:16" x14ac:dyDescent="0.25">
      <c r="B70" s="11" t="s">
        <v>32</v>
      </c>
      <c r="E70" s="76">
        <f>E43</f>
        <v>5.0600221182896012E-3</v>
      </c>
      <c r="F70" s="76">
        <f t="shared" ref="F70:J70" si="56">F43</f>
        <v>1.0009478049822766E-2</v>
      </c>
      <c r="G70" s="76">
        <f t="shared" si="56"/>
        <v>-5.9114180028489701E-3</v>
      </c>
      <c r="H70" s="76">
        <f t="shared" si="56"/>
        <v>-7.9021058139699327E-3</v>
      </c>
      <c r="I70" s="76">
        <f t="shared" si="56"/>
        <v>-1.25083768713768E-2</v>
      </c>
      <c r="J70" s="76">
        <f t="shared" si="56"/>
        <v>-2.4015907753315545E-2</v>
      </c>
      <c r="K70" s="90">
        <f>AVERAGE(F70:J70)</f>
        <v>-8.0656660783376966E-3</v>
      </c>
      <c r="L70" s="92">
        <f>K70</f>
        <v>-8.0656660783376966E-3</v>
      </c>
      <c r="M70" s="92">
        <f t="shared" ref="M70:P70" si="57">L70</f>
        <v>-8.0656660783376966E-3</v>
      </c>
      <c r="N70" s="92">
        <f t="shared" si="57"/>
        <v>-8.0656660783376966E-3</v>
      </c>
      <c r="O70" s="92">
        <f t="shared" si="57"/>
        <v>-8.0656660783376966E-3</v>
      </c>
      <c r="P70" s="92">
        <f t="shared" si="57"/>
        <v>-8.0656660783376966E-3</v>
      </c>
    </row>
    <row r="72" spans="2:16" x14ac:dyDescent="0.25">
      <c r="B72" s="16" t="s">
        <v>46</v>
      </c>
      <c r="C72" s="17"/>
      <c r="D72" s="17"/>
      <c r="E72" s="17"/>
      <c r="F72" s="17"/>
      <c r="G72" s="17"/>
      <c r="H72" s="17"/>
      <c r="I72" s="17"/>
      <c r="J72" s="17"/>
      <c r="K72" s="17"/>
      <c r="L72" s="95">
        <f ca="1">L61+L63-L66-L69</f>
        <v>48455.336146449394</v>
      </c>
      <c r="M72" s="95">
        <f t="shared" ref="M72:P72" ca="1" si="58">M61+M63-M66-M69</f>
        <v>74758.399618431678</v>
      </c>
      <c r="N72" s="95">
        <f t="shared" ca="1" si="58"/>
        <v>103132.59568466102</v>
      </c>
      <c r="O72" s="95">
        <f t="shared" ca="1" si="58"/>
        <v>136782.21129165261</v>
      </c>
      <c r="P72" s="99">
        <f t="shared" ca="1" si="58"/>
        <v>171916.16037953255</v>
      </c>
    </row>
    <row r="73" spans="2:16" x14ac:dyDescent="0.25">
      <c r="B73" s="18" t="s">
        <v>47</v>
      </c>
      <c r="C73" s="19"/>
      <c r="D73" s="19"/>
      <c r="E73" s="19"/>
      <c r="F73" s="19"/>
      <c r="G73" s="19"/>
      <c r="H73" s="19"/>
      <c r="I73" s="19"/>
      <c r="J73" s="19"/>
      <c r="K73" s="19"/>
      <c r="L73" s="98">
        <f ca="1">(L72*L75)/(1+WACC!F22)^DCF!L76</f>
        <v>43767.581101709795</v>
      </c>
      <c r="M73" s="98">
        <f ca="1">M72/(1+wacc)^M76</f>
        <v>66397.354091519563</v>
      </c>
      <c r="N73" s="98">
        <f ca="1">N72/(1+wacc)^N76</f>
        <v>84350.72325126607</v>
      </c>
      <c r="O73" s="98">
        <f ca="1">O72/(1+wacc)^O76</f>
        <v>103020.71687092465</v>
      </c>
      <c r="P73" s="100">
        <f ca="1">P72/(1+wacc)^P76</f>
        <v>119237.7396999998</v>
      </c>
    </row>
    <row r="75" spans="2:16" x14ac:dyDescent="0.25">
      <c r="B75" t="s">
        <v>42</v>
      </c>
      <c r="L75" s="97">
        <f>YEARFRAC(C5,C6)</f>
        <v>0.93888888888888888</v>
      </c>
    </row>
    <row r="76" spans="2:16" x14ac:dyDescent="0.25">
      <c r="B76" t="s">
        <v>43</v>
      </c>
      <c r="L76" s="97">
        <f>L75/2</f>
        <v>0.46944444444444444</v>
      </c>
      <c r="M76" s="97">
        <f>L75+0.5</f>
        <v>1.4388888888888889</v>
      </c>
      <c r="N76" s="97">
        <f>M76+1</f>
        <v>2.4388888888888891</v>
      </c>
      <c r="O76" s="97">
        <f t="shared" ref="O76:P76" si="59">N76+1</f>
        <v>3.4388888888888891</v>
      </c>
      <c r="P76" s="97">
        <f t="shared" si="59"/>
        <v>4.4388888888888891</v>
      </c>
    </row>
    <row r="78" spans="2:16" x14ac:dyDescent="0.25">
      <c r="B78" t="s">
        <v>44</v>
      </c>
      <c r="P78" s="67">
        <f ca="1">(P72*(1+tgr))/(wacc-tgr)</f>
        <v>2892538.7625736077</v>
      </c>
    </row>
    <row r="79" spans="2:16" x14ac:dyDescent="0.25">
      <c r="B79" t="s">
        <v>45</v>
      </c>
      <c r="P79" s="67">
        <f ca="1">P78/(1+wacc)^P76</f>
        <v>2006209.2085030847</v>
      </c>
    </row>
    <row r="81" spans="1:16" x14ac:dyDescent="0.25">
      <c r="B81" t="s">
        <v>228</v>
      </c>
      <c r="P81" s="67">
        <f ca="1">SUM(P79,L73:P73)</f>
        <v>2422983.3235185044</v>
      </c>
    </row>
    <row r="82" spans="1:16" x14ac:dyDescent="0.25">
      <c r="B82" t="s">
        <v>48</v>
      </c>
      <c r="P82" s="101">
        <v>98496</v>
      </c>
    </row>
    <row r="83" spans="1:16" x14ac:dyDescent="0.25">
      <c r="B83" t="s">
        <v>49</v>
      </c>
      <c r="P83" s="133">
        <f>WACC!F15</f>
        <v>21607</v>
      </c>
    </row>
    <row r="84" spans="1:16" x14ac:dyDescent="0.25">
      <c r="B84" t="s">
        <v>229</v>
      </c>
      <c r="P84" s="67">
        <f ca="1">P81+P82-P83</f>
        <v>2499872.3235185044</v>
      </c>
    </row>
    <row r="86" spans="1:16" x14ac:dyDescent="0.25">
      <c r="B86" t="s">
        <v>230</v>
      </c>
      <c r="P86" s="132">
        <f>Shares!E7</f>
        <v>12067</v>
      </c>
    </row>
    <row r="87" spans="1:16" x14ac:dyDescent="0.25">
      <c r="A87" t="s">
        <v>7</v>
      </c>
      <c r="B87" t="s">
        <v>231</v>
      </c>
      <c r="P87">
        <f ca="1">P84/P86</f>
        <v>207.1660166999672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0C5F-C643-44AE-B95C-DD38072C5D30}">
  <dimension ref="A1:J22"/>
  <sheetViews>
    <sheetView topLeftCell="A21" workbookViewId="0">
      <selection activeCell="F22" sqref="F22"/>
    </sheetView>
  </sheetViews>
  <sheetFormatPr defaultRowHeight="15" x14ac:dyDescent="0.25"/>
  <cols>
    <col min="6" max="6" width="14.8554687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1"/>
    </row>
    <row r="2" spans="1:10" ht="28.5" x14ac:dyDescent="0.45">
      <c r="B2" s="3" t="s">
        <v>12</v>
      </c>
      <c r="C2" s="1"/>
      <c r="D2" s="1"/>
      <c r="E2" s="1"/>
      <c r="F2" s="1"/>
      <c r="G2" s="1"/>
      <c r="H2" s="1"/>
      <c r="I2" s="1"/>
      <c r="J2" s="1"/>
    </row>
    <row r="4" spans="1:10" x14ac:dyDescent="0.25">
      <c r="B4" t="s">
        <v>215</v>
      </c>
    </row>
    <row r="5" spans="1:10" x14ac:dyDescent="0.25">
      <c r="B5" t="s">
        <v>216</v>
      </c>
    </row>
    <row r="7" spans="1:10" x14ac:dyDescent="0.25">
      <c r="A7" t="s">
        <v>50</v>
      </c>
      <c r="B7" s="2" t="s">
        <v>12</v>
      </c>
      <c r="C7" s="1"/>
      <c r="D7" s="1"/>
      <c r="E7" s="1"/>
      <c r="F7" s="1"/>
      <c r="G7" s="1"/>
      <c r="H7" s="1"/>
      <c r="I7" s="1"/>
      <c r="J7" s="1"/>
    </row>
    <row r="8" spans="1:10" x14ac:dyDescent="0.25">
      <c r="B8" t="s">
        <v>217</v>
      </c>
      <c r="F8" s="67">
        <v>3990248.28</v>
      </c>
    </row>
    <row r="9" spans="1:10" x14ac:dyDescent="0.25">
      <c r="B9" t="s">
        <v>218</v>
      </c>
      <c r="F9" s="69">
        <f>F8/F20</f>
        <v>0.99461421250469428</v>
      </c>
    </row>
    <row r="10" spans="1:10" x14ac:dyDescent="0.25">
      <c r="B10" t="s">
        <v>219</v>
      </c>
      <c r="F10" s="69">
        <f>F11+F12*F13</f>
        <v>8.6189999999999989E-2</v>
      </c>
    </row>
    <row r="11" spans="1:10" x14ac:dyDescent="0.25">
      <c r="B11" t="s">
        <v>220</v>
      </c>
      <c r="F11" s="68">
        <v>4.2299999999999997E-2</v>
      </c>
    </row>
    <row r="12" spans="1:10" x14ac:dyDescent="0.25">
      <c r="B12" t="s">
        <v>221</v>
      </c>
      <c r="F12" s="4">
        <v>1.05</v>
      </c>
    </row>
    <row r="13" spans="1:10" x14ac:dyDescent="0.25">
      <c r="B13" t="s">
        <v>222</v>
      </c>
      <c r="F13" s="68">
        <v>4.1799999999999997E-2</v>
      </c>
    </row>
    <row r="15" spans="1:10" x14ac:dyDescent="0.25">
      <c r="B15" t="s">
        <v>223</v>
      </c>
      <c r="F15" s="70">
        <v>21607</v>
      </c>
    </row>
    <row r="16" spans="1:10" x14ac:dyDescent="0.25">
      <c r="B16" t="s">
        <v>224</v>
      </c>
      <c r="F16" s="69">
        <f>F15/F20</f>
        <v>5.3857874953056632E-3</v>
      </c>
    </row>
    <row r="17" spans="1:6" x14ac:dyDescent="0.25">
      <c r="B17" t="s">
        <v>225</v>
      </c>
      <c r="F17" s="68">
        <f>(0.0269+0.0544)/2</f>
        <v>4.0649999999999999E-2</v>
      </c>
    </row>
    <row r="18" spans="1:6" x14ac:dyDescent="0.25">
      <c r="B18" t="s">
        <v>226</v>
      </c>
      <c r="F18" s="68">
        <f>DCF!K59</f>
        <v>0.15744103339325019</v>
      </c>
    </row>
    <row r="20" spans="1:6" x14ac:dyDescent="0.25">
      <c r="B20" s="66" t="s">
        <v>227</v>
      </c>
      <c r="C20" s="15"/>
      <c r="D20" s="15"/>
      <c r="E20" s="15"/>
      <c r="F20" s="71">
        <f>F15+F8</f>
        <v>4011855.28</v>
      </c>
    </row>
    <row r="22" spans="1:6" x14ac:dyDescent="0.25">
      <c r="A22" t="s">
        <v>50</v>
      </c>
      <c r="B22" s="66" t="s">
        <v>12</v>
      </c>
      <c r="C22" s="15"/>
      <c r="D22" s="15"/>
      <c r="E22" s="15"/>
      <c r="F22" s="96">
        <f>(F9*F10)+(F16*F17*(1-F18))</f>
        <v>8.591026231594108E-2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6C00-0FC8-45C4-AB95-9560EE9D2596}">
  <dimension ref="A2:G32"/>
  <sheetViews>
    <sheetView showGridLines="0" zoomScale="112" zoomScaleNormal="112" workbookViewId="0">
      <selection activeCell="E7" sqref="E7"/>
    </sheetView>
  </sheetViews>
  <sheetFormatPr defaultRowHeight="15" x14ac:dyDescent="0.25"/>
  <cols>
    <col min="1" max="1" width="3.5703125" style="104" customWidth="1"/>
    <col min="2" max="2" width="36.5703125" bestFit="1" customWidth="1"/>
    <col min="3" max="4" width="15.85546875" customWidth="1"/>
    <col min="5" max="5" width="17" bestFit="1" customWidth="1"/>
  </cols>
  <sheetData>
    <row r="2" spans="1:7" s="19" customFormat="1" ht="21" x14ac:dyDescent="0.35">
      <c r="A2" s="102"/>
      <c r="B2" s="103" t="s">
        <v>232</v>
      </c>
    </row>
    <row r="3" spans="1:7" x14ac:dyDescent="0.25">
      <c r="B3" s="105"/>
    </row>
    <row r="4" spans="1:7" x14ac:dyDescent="0.25">
      <c r="A4" s="104" t="s">
        <v>7</v>
      </c>
      <c r="B4" s="106" t="s">
        <v>233</v>
      </c>
      <c r="C4" s="107"/>
      <c r="D4" s="107"/>
      <c r="E4" s="107"/>
    </row>
    <row r="5" spans="1:7" ht="5.0999999999999996" customHeight="1" x14ac:dyDescent="0.25">
      <c r="B5" s="108"/>
      <c r="C5" s="109"/>
      <c r="D5" s="109"/>
      <c r="E5" s="109"/>
    </row>
    <row r="6" spans="1:7" x14ac:dyDescent="0.25">
      <c r="B6" s="86" t="s">
        <v>234</v>
      </c>
      <c r="E6" s="110">
        <v>327.93</v>
      </c>
      <c r="G6" s="111"/>
    </row>
    <row r="7" spans="1:7" ht="14.45" customHeight="1" x14ac:dyDescent="0.25">
      <c r="B7" s="112" t="s">
        <v>235</v>
      </c>
      <c r="E7" s="113">
        <f>5818+842+5407</f>
        <v>12067</v>
      </c>
    </row>
    <row r="8" spans="1:7" ht="14.45" customHeight="1" x14ac:dyDescent="0.25">
      <c r="B8" s="86" t="s">
        <v>236</v>
      </c>
      <c r="E8" s="114">
        <f>E32</f>
        <v>0</v>
      </c>
    </row>
    <row r="9" spans="1:7" ht="14.45" customHeight="1" x14ac:dyDescent="0.25">
      <c r="B9" s="86" t="s">
        <v>237</v>
      </c>
      <c r="E9" s="115">
        <f>SUMPRODUCT(D21:D30,E21:E30)</f>
        <v>0</v>
      </c>
    </row>
    <row r="10" spans="1:7" ht="14.45" customHeight="1" x14ac:dyDescent="0.25">
      <c r="B10" s="86" t="s">
        <v>238</v>
      </c>
      <c r="E10" s="115">
        <f>E9/E6</f>
        <v>0</v>
      </c>
    </row>
    <row r="11" spans="1:7" ht="14.45" customHeight="1" x14ac:dyDescent="0.25">
      <c r="B11" s="86" t="s">
        <v>239</v>
      </c>
      <c r="E11" s="115">
        <f>E8-E10</f>
        <v>0</v>
      </c>
    </row>
    <row r="12" spans="1:7" ht="14.45" customHeight="1" x14ac:dyDescent="0.25">
      <c r="B12" s="86"/>
      <c r="E12" s="115"/>
    </row>
    <row r="13" spans="1:7" ht="14.45" customHeight="1" x14ac:dyDescent="0.25">
      <c r="B13" s="86" t="s">
        <v>240</v>
      </c>
      <c r="E13" s="116">
        <v>323</v>
      </c>
    </row>
    <row r="14" spans="1:7" ht="14.45" customHeight="1" x14ac:dyDescent="0.25">
      <c r="B14" s="86" t="s">
        <v>241</v>
      </c>
      <c r="E14" s="116"/>
    </row>
    <row r="15" spans="1:7" ht="14.45" customHeight="1" x14ac:dyDescent="0.25">
      <c r="B15" s="86"/>
      <c r="E15" s="117"/>
    </row>
    <row r="16" spans="1:7" ht="14.45" customHeight="1" x14ac:dyDescent="0.25">
      <c r="B16" s="118" t="s">
        <v>242</v>
      </c>
      <c r="D16" s="119"/>
      <c r="E16" s="120">
        <f>E7+E11+E13+E14</f>
        <v>12390</v>
      </c>
    </row>
    <row r="17" spans="1:7" x14ac:dyDescent="0.25">
      <c r="B17" s="118"/>
      <c r="D17" s="119"/>
      <c r="E17" s="121"/>
    </row>
    <row r="18" spans="1:7" x14ac:dyDescent="0.25">
      <c r="A18" s="104" t="s">
        <v>7</v>
      </c>
      <c r="B18" s="106" t="s">
        <v>243</v>
      </c>
      <c r="C18" s="107"/>
      <c r="D18" s="107"/>
      <c r="E18" s="107"/>
    </row>
    <row r="19" spans="1:7" ht="5.0999999999999996" customHeight="1" x14ac:dyDescent="0.25">
      <c r="B19" s="108"/>
      <c r="C19" s="109"/>
      <c r="D19" s="109"/>
      <c r="E19" s="109"/>
    </row>
    <row r="20" spans="1:7" x14ac:dyDescent="0.25">
      <c r="C20" s="122" t="s">
        <v>244</v>
      </c>
      <c r="D20" s="122" t="s">
        <v>245</v>
      </c>
      <c r="E20" s="122" t="s">
        <v>246</v>
      </c>
    </row>
    <row r="21" spans="1:7" x14ac:dyDescent="0.25">
      <c r="B21" s="123">
        <v>1</v>
      </c>
      <c r="C21" s="116"/>
      <c r="D21" s="124"/>
      <c r="E21" s="125">
        <f>IF(D21&lt;$E$6,C21)</f>
        <v>0</v>
      </c>
      <c r="G21" s="111"/>
    </row>
    <row r="22" spans="1:7" x14ac:dyDescent="0.25">
      <c r="B22" s="123">
        <f t="shared" ref="B22:B30" si="0">B21+1</f>
        <v>2</v>
      </c>
      <c r="C22" s="116"/>
      <c r="D22" s="124"/>
      <c r="E22" s="125">
        <f t="shared" ref="E22:E30" si="1">IF(D22&lt;$E$6,C22)</f>
        <v>0</v>
      </c>
    </row>
    <row r="23" spans="1:7" x14ac:dyDescent="0.25">
      <c r="B23" s="123">
        <f t="shared" si="0"/>
        <v>3</v>
      </c>
      <c r="C23" s="116"/>
      <c r="D23" s="124"/>
      <c r="E23" s="125">
        <f t="shared" si="1"/>
        <v>0</v>
      </c>
    </row>
    <row r="24" spans="1:7" x14ac:dyDescent="0.25">
      <c r="B24" s="123">
        <f t="shared" si="0"/>
        <v>4</v>
      </c>
      <c r="C24" s="116"/>
      <c r="D24" s="124"/>
      <c r="E24" s="125">
        <f t="shared" si="1"/>
        <v>0</v>
      </c>
    </row>
    <row r="25" spans="1:7" x14ac:dyDescent="0.25">
      <c r="B25" s="123">
        <f t="shared" si="0"/>
        <v>5</v>
      </c>
      <c r="C25" s="116"/>
      <c r="D25" s="124"/>
      <c r="E25" s="125">
        <f t="shared" si="1"/>
        <v>0</v>
      </c>
    </row>
    <row r="26" spans="1:7" x14ac:dyDescent="0.25">
      <c r="B26" s="123">
        <f t="shared" si="0"/>
        <v>6</v>
      </c>
      <c r="C26" s="116"/>
      <c r="D26" s="124"/>
      <c r="E26" s="125">
        <f t="shared" si="1"/>
        <v>0</v>
      </c>
    </row>
    <row r="27" spans="1:7" x14ac:dyDescent="0.25">
      <c r="B27" s="123">
        <f t="shared" si="0"/>
        <v>7</v>
      </c>
      <c r="C27" s="116"/>
      <c r="D27" s="124"/>
      <c r="E27" s="125">
        <f t="shared" si="1"/>
        <v>0</v>
      </c>
    </row>
    <row r="28" spans="1:7" x14ac:dyDescent="0.25">
      <c r="B28" s="123">
        <f t="shared" si="0"/>
        <v>8</v>
      </c>
      <c r="C28" s="116"/>
      <c r="D28" s="124"/>
      <c r="E28" s="125">
        <f t="shared" si="1"/>
        <v>0</v>
      </c>
    </row>
    <row r="29" spans="1:7" x14ac:dyDescent="0.25">
      <c r="B29" s="123">
        <f t="shared" si="0"/>
        <v>9</v>
      </c>
      <c r="C29" s="116"/>
      <c r="D29" s="124"/>
      <c r="E29" s="125">
        <f t="shared" si="1"/>
        <v>0</v>
      </c>
    </row>
    <row r="30" spans="1:7" x14ac:dyDescent="0.25">
      <c r="B30" s="123">
        <f t="shared" si="0"/>
        <v>10</v>
      </c>
      <c r="C30" s="116"/>
      <c r="D30" s="124"/>
      <c r="E30" s="125">
        <f t="shared" si="1"/>
        <v>0</v>
      </c>
    </row>
    <row r="31" spans="1:7" ht="5.0999999999999996" customHeight="1" x14ac:dyDescent="0.25">
      <c r="B31" s="126"/>
      <c r="C31" s="127"/>
      <c r="D31" s="127"/>
      <c r="E31" s="128"/>
    </row>
    <row r="32" spans="1:7" x14ac:dyDescent="0.25">
      <c r="A32" s="104" t="s">
        <v>7</v>
      </c>
      <c r="B32" s="129" t="s">
        <v>227</v>
      </c>
      <c r="C32" s="130"/>
      <c r="D32" s="130"/>
      <c r="E32" s="131">
        <f>SUM(E21:E30)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1982-1413-4F61-BABD-3CD6EB0BE5B1}">
  <sheetPr>
    <outlinePr summaryBelow="0" summaryRight="0"/>
  </sheetPr>
  <dimension ref="A1:K63"/>
  <sheetViews>
    <sheetView workbookViewId="0">
      <selection activeCell="A4" sqref="A4"/>
    </sheetView>
  </sheetViews>
  <sheetFormatPr defaultColWidth="9.140625" defaultRowHeight="15" customHeight="1" outlineLevelRow="3" x14ac:dyDescent="0.2"/>
  <cols>
    <col min="1" max="1" width="60.28515625" style="20" customWidth="1"/>
    <col min="2" max="11" width="10.5703125" style="20" customWidth="1"/>
    <col min="12" max="16384" width="9.140625" style="20"/>
  </cols>
  <sheetData>
    <row r="1" spans="1:11" ht="15" customHeight="1" x14ac:dyDescent="0.2">
      <c r="A1" s="56" t="s">
        <v>101</v>
      </c>
    </row>
    <row r="2" spans="1:11" ht="15" customHeight="1" x14ac:dyDescent="0.2">
      <c r="A2" s="55" t="s">
        <v>100</v>
      </c>
    </row>
    <row r="3" spans="1:11" ht="15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5" spans="1:11" ht="15" customHeight="1" x14ac:dyDescent="0.2">
      <c r="A5" s="53" t="s">
        <v>99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ht="15" customHeight="1" x14ac:dyDescent="0.2">
      <c r="A6" s="53" t="s">
        <v>98</v>
      </c>
      <c r="B6" s="53"/>
      <c r="C6" s="53"/>
      <c r="D6" s="53"/>
      <c r="E6" s="53"/>
      <c r="F6" s="53"/>
      <c r="G6" s="53"/>
      <c r="H6" s="53"/>
      <c r="I6" s="53"/>
      <c r="J6" s="53"/>
      <c r="K6" s="53"/>
    </row>
    <row r="7" spans="1:11" ht="15" customHeight="1" x14ac:dyDescent="0.2">
      <c r="A7" s="53" t="s">
        <v>97</v>
      </c>
      <c r="B7" s="53"/>
      <c r="C7" s="53"/>
      <c r="D7" s="53"/>
      <c r="E7" s="53"/>
      <c r="F7" s="53"/>
      <c r="G7" s="53"/>
      <c r="H7" s="53"/>
      <c r="I7" s="53"/>
      <c r="J7" s="53"/>
      <c r="K7" s="53"/>
    </row>
    <row r="8" spans="1:11" ht="15" customHeight="1" x14ac:dyDescent="0.2">
      <c r="A8" s="53"/>
      <c r="B8" s="53" t="s">
        <v>96</v>
      </c>
      <c r="C8" s="53" t="s">
        <v>95</v>
      </c>
      <c r="D8" s="53" t="s">
        <v>94</v>
      </c>
      <c r="E8" s="53" t="s">
        <v>93</v>
      </c>
      <c r="F8" s="53" t="s">
        <v>92</v>
      </c>
      <c r="G8" s="53" t="s">
        <v>91</v>
      </c>
      <c r="H8" s="53" t="s">
        <v>90</v>
      </c>
      <c r="I8" s="53" t="s">
        <v>89</v>
      </c>
      <c r="J8" s="53" t="s">
        <v>88</v>
      </c>
      <c r="K8" s="53" t="s">
        <v>87</v>
      </c>
    </row>
    <row r="9" spans="1:11" ht="15" customHeight="1" x14ac:dyDescent="0.2">
      <c r="A9" s="53"/>
      <c r="B9" s="53" t="s">
        <v>86</v>
      </c>
      <c r="C9" s="53"/>
      <c r="D9" s="53"/>
      <c r="E9" s="53"/>
      <c r="F9" s="53"/>
      <c r="G9" s="53"/>
      <c r="H9" s="53"/>
      <c r="I9" s="53"/>
      <c r="J9" s="53"/>
      <c r="K9" s="53"/>
    </row>
    <row r="10" spans="1:11" ht="15" customHeight="1" x14ac:dyDescent="0.2">
      <c r="A10" s="30" t="s">
        <v>85</v>
      </c>
      <c r="B10" s="52">
        <v>74989</v>
      </c>
      <c r="C10" s="52">
        <v>90272</v>
      </c>
      <c r="D10" s="52">
        <v>110855</v>
      </c>
      <c r="E10" s="52">
        <v>136819</v>
      </c>
      <c r="F10" s="52">
        <v>161857</v>
      </c>
      <c r="G10" s="52">
        <v>182527</v>
      </c>
      <c r="H10" s="52">
        <v>257637</v>
      </c>
      <c r="I10" s="52">
        <v>282836</v>
      </c>
      <c r="J10" s="52">
        <v>307394</v>
      </c>
      <c r="K10" s="52">
        <v>350018</v>
      </c>
    </row>
    <row r="11" spans="1:11" ht="15" customHeight="1" outlineLevel="1" x14ac:dyDescent="0.2">
      <c r="A11" s="49" t="s">
        <v>84</v>
      </c>
      <c r="B11" s="28" t="s">
        <v>52</v>
      </c>
      <c r="C11" s="28" t="s">
        <v>52</v>
      </c>
      <c r="D11" s="28" t="s">
        <v>52</v>
      </c>
      <c r="E11" s="28" t="s">
        <v>52</v>
      </c>
      <c r="F11" s="28" t="s">
        <v>52</v>
      </c>
      <c r="G11" s="28" t="s">
        <v>52</v>
      </c>
      <c r="H11" s="28" t="s">
        <v>52</v>
      </c>
      <c r="I11" s="28" t="s">
        <v>52</v>
      </c>
      <c r="J11" s="28" t="s">
        <v>52</v>
      </c>
      <c r="K11" s="28" t="s">
        <v>52</v>
      </c>
    </row>
    <row r="12" spans="1:11" ht="15" customHeight="1" outlineLevel="1" x14ac:dyDescent="0.2">
      <c r="A12" s="48" t="s">
        <v>83</v>
      </c>
      <c r="B12" s="24" t="s">
        <v>52</v>
      </c>
      <c r="C12" s="24" t="s">
        <v>52</v>
      </c>
      <c r="D12" s="24" t="s">
        <v>52</v>
      </c>
      <c r="E12" s="24" t="s">
        <v>52</v>
      </c>
      <c r="F12" s="24" t="s">
        <v>52</v>
      </c>
      <c r="G12" s="24" t="s">
        <v>52</v>
      </c>
      <c r="H12" s="24" t="s">
        <v>52</v>
      </c>
      <c r="I12" s="24" t="s">
        <v>52</v>
      </c>
      <c r="J12" s="24" t="s">
        <v>52</v>
      </c>
      <c r="K12" s="24" t="s">
        <v>52</v>
      </c>
    </row>
    <row r="13" spans="1:11" ht="15" customHeight="1" x14ac:dyDescent="0.2">
      <c r="A13" s="32" t="s">
        <v>82</v>
      </c>
      <c r="B13" s="51">
        <v>-55629</v>
      </c>
      <c r="C13" s="51">
        <v>-66556</v>
      </c>
      <c r="D13" s="51">
        <v>-84709</v>
      </c>
      <c r="E13" s="51">
        <v>-110498</v>
      </c>
      <c r="F13" s="51">
        <v>-127626</v>
      </c>
      <c r="G13" s="51">
        <v>-141303</v>
      </c>
      <c r="H13" s="51">
        <v>-178923</v>
      </c>
      <c r="I13" s="51">
        <v>-207994</v>
      </c>
      <c r="J13" s="51">
        <v>-223101</v>
      </c>
      <c r="K13" s="51">
        <v>-237628</v>
      </c>
    </row>
    <row r="14" spans="1:11" ht="15" customHeight="1" outlineLevel="1" x14ac:dyDescent="0.2">
      <c r="A14" s="48" t="s">
        <v>81</v>
      </c>
      <c r="B14" s="50">
        <v>-28164</v>
      </c>
      <c r="C14" s="50">
        <v>-35138</v>
      </c>
      <c r="D14" s="50">
        <v>-45583</v>
      </c>
      <c r="E14" s="50">
        <v>-59549</v>
      </c>
      <c r="F14" s="50">
        <v>-71896</v>
      </c>
      <c r="G14" s="50">
        <v>-84732</v>
      </c>
      <c r="H14" s="50">
        <v>-110939</v>
      </c>
      <c r="I14" s="50">
        <v>-126203</v>
      </c>
      <c r="J14" s="50">
        <v>-133332</v>
      </c>
      <c r="K14" s="50">
        <v>-146306</v>
      </c>
    </row>
    <row r="15" spans="1:11" ht="15" customHeight="1" outlineLevel="1" x14ac:dyDescent="0.2">
      <c r="A15" s="49" t="s">
        <v>80</v>
      </c>
      <c r="B15" s="28" t="s">
        <v>52</v>
      </c>
      <c r="C15" s="28" t="s">
        <v>52</v>
      </c>
      <c r="D15" s="28" t="s">
        <v>52</v>
      </c>
      <c r="E15" s="28" t="s">
        <v>52</v>
      </c>
      <c r="F15" s="28" t="s">
        <v>52</v>
      </c>
      <c r="G15" s="28" t="s">
        <v>52</v>
      </c>
      <c r="H15" s="28" t="s">
        <v>52</v>
      </c>
      <c r="I15" s="28" t="s">
        <v>52</v>
      </c>
      <c r="J15" s="28" t="s">
        <v>52</v>
      </c>
      <c r="K15" s="28" t="s">
        <v>52</v>
      </c>
    </row>
    <row r="16" spans="1:11" ht="15" customHeight="1" outlineLevel="1" x14ac:dyDescent="0.2">
      <c r="A16" s="48" t="s">
        <v>79</v>
      </c>
      <c r="B16" s="50">
        <v>-12282</v>
      </c>
      <c r="C16" s="50">
        <v>-13948</v>
      </c>
      <c r="D16" s="50">
        <v>-16625</v>
      </c>
      <c r="E16" s="50">
        <v>-21419</v>
      </c>
      <c r="F16" s="50">
        <v>-26018</v>
      </c>
      <c r="G16" s="50">
        <v>-27573</v>
      </c>
      <c r="H16" s="50">
        <v>-31562</v>
      </c>
      <c r="I16" s="50">
        <v>-39500</v>
      </c>
      <c r="J16" s="50">
        <v>-45427</v>
      </c>
      <c r="K16" s="50">
        <v>-49326</v>
      </c>
    </row>
    <row r="17" spans="1:11" ht="15" customHeight="1" outlineLevel="1" x14ac:dyDescent="0.2">
      <c r="A17" s="49" t="s">
        <v>78</v>
      </c>
      <c r="B17" s="46">
        <v>-9047</v>
      </c>
      <c r="C17" s="46">
        <v>-10485</v>
      </c>
      <c r="D17" s="46">
        <v>-12893</v>
      </c>
      <c r="E17" s="46">
        <v>-16333</v>
      </c>
      <c r="F17" s="46">
        <v>-18464</v>
      </c>
      <c r="G17" s="46">
        <v>-17946</v>
      </c>
      <c r="H17" s="46">
        <v>-22912</v>
      </c>
      <c r="I17" s="46">
        <v>-26567</v>
      </c>
      <c r="J17" s="46">
        <v>-27917</v>
      </c>
      <c r="K17" s="46">
        <v>-27808</v>
      </c>
    </row>
    <row r="18" spans="1:11" ht="15" customHeight="1" outlineLevel="1" x14ac:dyDescent="0.2">
      <c r="A18" s="48" t="s">
        <v>77</v>
      </c>
      <c r="B18" s="50">
        <v>-6136</v>
      </c>
      <c r="C18" s="50">
        <v>-6985</v>
      </c>
      <c r="D18" s="50">
        <v>-6872</v>
      </c>
      <c r="E18" s="50">
        <v>-8126</v>
      </c>
      <c r="F18" s="50">
        <v>-9551</v>
      </c>
      <c r="G18" s="50">
        <v>-11052</v>
      </c>
      <c r="H18" s="50">
        <v>-13510</v>
      </c>
      <c r="I18" s="50">
        <v>-15724</v>
      </c>
      <c r="J18" s="50">
        <v>-16425</v>
      </c>
      <c r="K18" s="50">
        <v>-14188</v>
      </c>
    </row>
    <row r="19" spans="1:11" ht="15" customHeight="1" outlineLevel="1" x14ac:dyDescent="0.2">
      <c r="A19" s="49" t="s">
        <v>76</v>
      </c>
      <c r="B19" s="28" t="s">
        <v>52</v>
      </c>
      <c r="C19" s="28" t="s">
        <v>52</v>
      </c>
      <c r="D19" s="46">
        <v>-2736</v>
      </c>
      <c r="E19" s="46">
        <v>-5071</v>
      </c>
      <c r="F19" s="46">
        <v>-1697</v>
      </c>
      <c r="G19" s="45">
        <v>0</v>
      </c>
      <c r="H19" s="45">
        <v>0</v>
      </c>
      <c r="I19" s="28" t="s">
        <v>52</v>
      </c>
      <c r="J19" s="28" t="s">
        <v>52</v>
      </c>
      <c r="K19" s="28" t="s">
        <v>52</v>
      </c>
    </row>
    <row r="20" spans="1:11" ht="15" customHeight="1" outlineLevel="1" x14ac:dyDescent="0.2">
      <c r="A20" s="48" t="s">
        <v>75</v>
      </c>
      <c r="B20" s="24" t="s">
        <v>52</v>
      </c>
      <c r="C20" s="24" t="s">
        <v>52</v>
      </c>
      <c r="D20" s="24" t="s">
        <v>52</v>
      </c>
      <c r="E20" s="24" t="s">
        <v>52</v>
      </c>
      <c r="F20" s="24" t="s">
        <v>52</v>
      </c>
      <c r="G20" s="24" t="s">
        <v>52</v>
      </c>
      <c r="H20" s="24" t="s">
        <v>52</v>
      </c>
      <c r="I20" s="24" t="s">
        <v>52</v>
      </c>
      <c r="J20" s="24" t="s">
        <v>52</v>
      </c>
      <c r="K20" s="24" t="s">
        <v>52</v>
      </c>
    </row>
    <row r="21" spans="1:11" ht="15" customHeight="1" outlineLevel="1" x14ac:dyDescent="0.2">
      <c r="A21" s="49" t="s">
        <v>74</v>
      </c>
      <c r="B21" s="28" t="s">
        <v>52</v>
      </c>
      <c r="C21" s="28" t="s">
        <v>52</v>
      </c>
      <c r="D21" s="28" t="s">
        <v>52</v>
      </c>
      <c r="E21" s="28" t="s">
        <v>52</v>
      </c>
      <c r="F21" s="28" t="s">
        <v>52</v>
      </c>
      <c r="G21" s="28" t="s">
        <v>52</v>
      </c>
      <c r="H21" s="28" t="s">
        <v>52</v>
      </c>
      <c r="I21" s="28" t="s">
        <v>52</v>
      </c>
      <c r="J21" s="28" t="s">
        <v>52</v>
      </c>
      <c r="K21" s="28" t="s">
        <v>52</v>
      </c>
    </row>
    <row r="22" spans="1:11" ht="15" customHeight="1" outlineLevel="1" x14ac:dyDescent="0.2">
      <c r="A22" s="48" t="s">
        <v>73</v>
      </c>
      <c r="B22" s="24" t="s">
        <v>52</v>
      </c>
      <c r="C22" s="24" t="s">
        <v>52</v>
      </c>
      <c r="D22" s="24" t="s">
        <v>52</v>
      </c>
      <c r="E22" s="24" t="s">
        <v>52</v>
      </c>
      <c r="F22" s="24" t="s">
        <v>52</v>
      </c>
      <c r="G22" s="24" t="s">
        <v>52</v>
      </c>
      <c r="H22" s="24" t="s">
        <v>52</v>
      </c>
      <c r="I22" s="24" t="s">
        <v>52</v>
      </c>
      <c r="J22" s="24" t="s">
        <v>52</v>
      </c>
      <c r="K22" s="24" t="s">
        <v>52</v>
      </c>
    </row>
    <row r="23" spans="1:11" ht="15" customHeight="1" x14ac:dyDescent="0.2">
      <c r="A23" s="28" t="s">
        <v>72</v>
      </c>
      <c r="B23" s="45">
        <v>19360</v>
      </c>
      <c r="C23" s="45">
        <v>23716</v>
      </c>
      <c r="D23" s="45">
        <v>26146</v>
      </c>
      <c r="E23" s="45">
        <v>26321</v>
      </c>
      <c r="F23" s="45">
        <v>34231</v>
      </c>
      <c r="G23" s="45">
        <v>41224</v>
      </c>
      <c r="H23" s="45">
        <v>78714</v>
      </c>
      <c r="I23" s="45">
        <v>74842</v>
      </c>
      <c r="J23" s="45">
        <v>84293</v>
      </c>
      <c r="K23" s="45">
        <v>112390</v>
      </c>
    </row>
    <row r="24" spans="1:11" ht="15" customHeight="1" x14ac:dyDescent="0.2">
      <c r="A24" s="24" t="s">
        <v>71</v>
      </c>
      <c r="B24" s="24" t="s">
        <v>52</v>
      </c>
      <c r="C24" s="24" t="s">
        <v>52</v>
      </c>
      <c r="D24" s="24" t="s">
        <v>52</v>
      </c>
      <c r="E24" s="24" t="s">
        <v>52</v>
      </c>
      <c r="F24" s="24" t="s">
        <v>52</v>
      </c>
      <c r="G24" s="24" t="s">
        <v>52</v>
      </c>
      <c r="H24" s="24" t="s">
        <v>52</v>
      </c>
      <c r="I24" s="24" t="s">
        <v>52</v>
      </c>
      <c r="J24" s="24" t="s">
        <v>52</v>
      </c>
      <c r="K24" s="24" t="s">
        <v>52</v>
      </c>
    </row>
    <row r="25" spans="1:11" ht="15" customHeight="1" x14ac:dyDescent="0.2">
      <c r="A25" s="28" t="s">
        <v>70</v>
      </c>
      <c r="B25" s="45">
        <v>291</v>
      </c>
      <c r="C25" s="45">
        <v>434</v>
      </c>
      <c r="D25" s="45">
        <v>1047</v>
      </c>
      <c r="E25" s="45">
        <v>8592</v>
      </c>
      <c r="F25" s="45">
        <v>5394</v>
      </c>
      <c r="G25" s="45">
        <v>6858</v>
      </c>
      <c r="H25" s="45">
        <v>12020</v>
      </c>
      <c r="I25" s="46">
        <v>-3514</v>
      </c>
      <c r="J25" s="45">
        <v>1424</v>
      </c>
      <c r="K25" s="45">
        <v>7425</v>
      </c>
    </row>
    <row r="26" spans="1:11" ht="15" customHeight="1" x14ac:dyDescent="0.2">
      <c r="A26" s="24" t="s">
        <v>69</v>
      </c>
      <c r="B26" s="44">
        <v>19651</v>
      </c>
      <c r="C26" s="44">
        <v>24150</v>
      </c>
      <c r="D26" s="44">
        <v>27193</v>
      </c>
      <c r="E26" s="44">
        <v>34913</v>
      </c>
      <c r="F26" s="44">
        <v>39625</v>
      </c>
      <c r="G26" s="44">
        <v>48082</v>
      </c>
      <c r="H26" s="44">
        <v>90734</v>
      </c>
      <c r="I26" s="44">
        <v>71328</v>
      </c>
      <c r="J26" s="44">
        <v>85717</v>
      </c>
      <c r="K26" s="44">
        <v>119815</v>
      </c>
    </row>
    <row r="27" spans="1:11" ht="15" customHeight="1" x14ac:dyDescent="0.2">
      <c r="A27" s="28" t="s">
        <v>68</v>
      </c>
      <c r="B27" s="46">
        <v>-3303</v>
      </c>
      <c r="C27" s="46">
        <v>-4672</v>
      </c>
      <c r="D27" s="46">
        <v>-14531</v>
      </c>
      <c r="E27" s="46">
        <v>-4177</v>
      </c>
      <c r="F27" s="46">
        <v>-5282</v>
      </c>
      <c r="G27" s="46">
        <v>-7813</v>
      </c>
      <c r="H27" s="46">
        <v>-14701</v>
      </c>
      <c r="I27" s="46">
        <v>-11356</v>
      </c>
      <c r="J27" s="46">
        <v>-11922</v>
      </c>
      <c r="K27" s="46">
        <v>-19697</v>
      </c>
    </row>
    <row r="28" spans="1:11" ht="15" customHeight="1" x14ac:dyDescent="0.2">
      <c r="A28" s="24" t="s">
        <v>67</v>
      </c>
      <c r="B28" s="44">
        <v>16348</v>
      </c>
      <c r="C28" s="44">
        <v>19478</v>
      </c>
      <c r="D28" s="47">
        <v>12662</v>
      </c>
      <c r="E28" s="47">
        <v>30736</v>
      </c>
      <c r="F28" s="47">
        <v>34343</v>
      </c>
      <c r="G28" s="47">
        <v>40269</v>
      </c>
      <c r="H28" s="47">
        <v>76033</v>
      </c>
      <c r="I28" s="47">
        <v>59972</v>
      </c>
      <c r="J28" s="47">
        <v>73795</v>
      </c>
      <c r="K28" s="47">
        <v>100118</v>
      </c>
    </row>
    <row r="29" spans="1:11" ht="15" customHeight="1" x14ac:dyDescent="0.2">
      <c r="A29" s="28" t="s">
        <v>66</v>
      </c>
      <c r="B29" s="45">
        <v>0</v>
      </c>
      <c r="C29" s="45">
        <v>0</v>
      </c>
      <c r="D29" s="28" t="s">
        <v>52</v>
      </c>
      <c r="E29" s="28" t="s">
        <v>52</v>
      </c>
      <c r="F29" s="28" t="s">
        <v>52</v>
      </c>
      <c r="G29" s="28" t="s">
        <v>52</v>
      </c>
      <c r="H29" s="28" t="s">
        <v>52</v>
      </c>
      <c r="I29" s="28" t="s">
        <v>52</v>
      </c>
      <c r="J29" s="28" t="s">
        <v>52</v>
      </c>
      <c r="K29" s="28" t="s">
        <v>52</v>
      </c>
    </row>
    <row r="30" spans="1:11" ht="15" customHeight="1" x14ac:dyDescent="0.2">
      <c r="A30" s="24" t="s">
        <v>65</v>
      </c>
      <c r="B30" s="44">
        <v>16348</v>
      </c>
      <c r="C30" s="44">
        <v>19478</v>
      </c>
      <c r="D30" s="44">
        <v>12662</v>
      </c>
      <c r="E30" s="44">
        <v>30736</v>
      </c>
      <c r="F30" s="44">
        <v>34343</v>
      </c>
      <c r="G30" s="44">
        <v>40269</v>
      </c>
      <c r="H30" s="44">
        <v>76033</v>
      </c>
      <c r="I30" s="44">
        <v>59972</v>
      </c>
      <c r="J30" s="44">
        <v>73795</v>
      </c>
      <c r="K30" s="44">
        <v>100118</v>
      </c>
    </row>
    <row r="31" spans="1:11" ht="15" customHeight="1" x14ac:dyDescent="0.2">
      <c r="A31" s="28" t="s">
        <v>64</v>
      </c>
      <c r="B31" s="46">
        <v>-522</v>
      </c>
      <c r="C31" s="45">
        <v>0</v>
      </c>
      <c r="D31" s="45">
        <v>0</v>
      </c>
      <c r="E31" s="28" t="s">
        <v>52</v>
      </c>
      <c r="F31" s="28" t="s">
        <v>52</v>
      </c>
      <c r="G31" s="28" t="s">
        <v>52</v>
      </c>
      <c r="H31" s="28" t="s">
        <v>52</v>
      </c>
      <c r="I31" s="28" t="s">
        <v>52</v>
      </c>
      <c r="J31" s="28" t="s">
        <v>52</v>
      </c>
      <c r="K31" s="28" t="s">
        <v>52</v>
      </c>
    </row>
    <row r="32" spans="1:11" ht="15" customHeight="1" x14ac:dyDescent="0.2">
      <c r="A32" s="24" t="s">
        <v>63</v>
      </c>
      <c r="B32" s="44">
        <v>15826</v>
      </c>
      <c r="C32" s="44">
        <v>19478</v>
      </c>
      <c r="D32" s="44">
        <v>12662</v>
      </c>
      <c r="E32" s="44">
        <v>30736</v>
      </c>
      <c r="F32" s="44">
        <v>34343</v>
      </c>
      <c r="G32" s="44">
        <v>40269</v>
      </c>
      <c r="H32" s="44">
        <v>76033</v>
      </c>
      <c r="I32" s="44">
        <v>59972</v>
      </c>
      <c r="J32" s="44">
        <v>73795</v>
      </c>
      <c r="K32" s="44">
        <v>100118</v>
      </c>
    </row>
    <row r="33" spans="1:11" ht="15" customHeight="1" x14ac:dyDescent="0.2">
      <c r="A33" s="32" t="s">
        <v>62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spans="1:11" ht="15" customHeight="1" outlineLevel="1" x14ac:dyDescent="0.2">
      <c r="A34" s="31" t="s">
        <v>58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1:11" ht="15" customHeight="1" outlineLevel="2" x14ac:dyDescent="0.2">
      <c r="A35" s="43" t="s">
        <v>54</v>
      </c>
      <c r="B35" s="42">
        <v>1.1555</v>
      </c>
      <c r="C35" s="42">
        <v>1.4159999999999999</v>
      </c>
      <c r="D35" s="42">
        <v>0.91349999999999998</v>
      </c>
      <c r="E35" s="41">
        <v>44.22</v>
      </c>
      <c r="F35" s="41">
        <v>49.59</v>
      </c>
      <c r="G35" s="41">
        <v>59.15</v>
      </c>
      <c r="H35" s="41">
        <v>113.88</v>
      </c>
      <c r="I35" s="41">
        <v>4.59</v>
      </c>
      <c r="J35" s="41">
        <v>5.84</v>
      </c>
      <c r="K35" s="41">
        <v>8.1300000000000008</v>
      </c>
    </row>
    <row r="36" spans="1:11" ht="15" customHeight="1" outlineLevel="3" x14ac:dyDescent="0.2">
      <c r="A36" s="35" t="s">
        <v>61</v>
      </c>
      <c r="B36" s="34">
        <v>1.1555</v>
      </c>
      <c r="C36" s="34">
        <v>1.4159999999999999</v>
      </c>
      <c r="D36" s="34">
        <v>0.91349999999999998</v>
      </c>
      <c r="E36" s="24" t="s">
        <v>52</v>
      </c>
      <c r="F36" s="24" t="s">
        <v>52</v>
      </c>
      <c r="G36" s="24" t="s">
        <v>52</v>
      </c>
      <c r="H36" s="24" t="s">
        <v>52</v>
      </c>
      <c r="I36" s="24" t="s">
        <v>52</v>
      </c>
      <c r="J36" s="24" t="s">
        <v>52</v>
      </c>
      <c r="K36" s="24" t="s">
        <v>52</v>
      </c>
    </row>
    <row r="37" spans="1:11" ht="15" customHeight="1" outlineLevel="3" x14ac:dyDescent="0.2">
      <c r="A37" s="37" t="s">
        <v>60</v>
      </c>
      <c r="B37" s="36">
        <v>0</v>
      </c>
      <c r="C37" s="36">
        <v>0</v>
      </c>
      <c r="D37" s="36">
        <v>0</v>
      </c>
      <c r="E37" s="28" t="s">
        <v>52</v>
      </c>
      <c r="F37" s="28" t="s">
        <v>52</v>
      </c>
      <c r="G37" s="28" t="s">
        <v>52</v>
      </c>
      <c r="H37" s="28" t="s">
        <v>52</v>
      </c>
      <c r="I37" s="28" t="s">
        <v>52</v>
      </c>
      <c r="J37" s="28" t="s">
        <v>52</v>
      </c>
      <c r="K37" s="28" t="s">
        <v>52</v>
      </c>
    </row>
    <row r="38" spans="1:11" ht="15" customHeight="1" outlineLevel="2" x14ac:dyDescent="0.2">
      <c r="A38" s="40" t="s">
        <v>53</v>
      </c>
      <c r="B38" s="39">
        <v>1.1419999999999999</v>
      </c>
      <c r="C38" s="39">
        <v>1.3925000000000001</v>
      </c>
      <c r="D38" s="39">
        <v>0.9</v>
      </c>
      <c r="E38" s="38">
        <v>43.7</v>
      </c>
      <c r="F38" s="38">
        <v>49.16</v>
      </c>
      <c r="G38" s="38">
        <v>58.61</v>
      </c>
      <c r="H38" s="38">
        <v>112.2</v>
      </c>
      <c r="I38" s="38">
        <v>4.5599999999999996</v>
      </c>
      <c r="J38" s="38">
        <v>5.8</v>
      </c>
      <c r="K38" s="38">
        <v>8.0399999999999991</v>
      </c>
    </row>
    <row r="39" spans="1:11" ht="15" customHeight="1" outlineLevel="3" x14ac:dyDescent="0.2">
      <c r="A39" s="37" t="s">
        <v>61</v>
      </c>
      <c r="B39" s="36">
        <v>1.1419999999999999</v>
      </c>
      <c r="C39" s="36">
        <v>1.3925000000000001</v>
      </c>
      <c r="D39" s="36">
        <v>0.9</v>
      </c>
      <c r="E39" s="28" t="s">
        <v>52</v>
      </c>
      <c r="F39" s="28" t="s">
        <v>52</v>
      </c>
      <c r="G39" s="28" t="s">
        <v>52</v>
      </c>
      <c r="H39" s="28" t="s">
        <v>52</v>
      </c>
      <c r="I39" s="28" t="s">
        <v>52</v>
      </c>
      <c r="J39" s="28" t="s">
        <v>52</v>
      </c>
      <c r="K39" s="28" t="s">
        <v>52</v>
      </c>
    </row>
    <row r="40" spans="1:11" ht="15" customHeight="1" outlineLevel="3" x14ac:dyDescent="0.2">
      <c r="A40" s="35" t="s">
        <v>60</v>
      </c>
      <c r="B40" s="34">
        <v>0</v>
      </c>
      <c r="C40" s="34">
        <v>0</v>
      </c>
      <c r="D40" s="34">
        <v>0</v>
      </c>
      <c r="E40" s="24" t="s">
        <v>52</v>
      </c>
      <c r="F40" s="24" t="s">
        <v>52</v>
      </c>
      <c r="G40" s="24" t="s">
        <v>52</v>
      </c>
      <c r="H40" s="24" t="s">
        <v>52</v>
      </c>
      <c r="I40" s="24" t="s">
        <v>52</v>
      </c>
      <c r="J40" s="24" t="s">
        <v>52</v>
      </c>
      <c r="K40" s="24" t="s">
        <v>52</v>
      </c>
    </row>
    <row r="41" spans="1:11" ht="15" customHeight="1" outlineLevel="1" x14ac:dyDescent="0.2">
      <c r="A41" s="33" t="s">
        <v>57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</row>
    <row r="42" spans="1:11" ht="15" customHeight="1" outlineLevel="2" x14ac:dyDescent="0.2">
      <c r="A42" s="25" t="s">
        <v>54</v>
      </c>
      <c r="B42" s="24" t="s">
        <v>52</v>
      </c>
      <c r="C42" s="24" t="s">
        <v>52</v>
      </c>
      <c r="D42" s="24" t="s">
        <v>52</v>
      </c>
      <c r="E42" s="24" t="s">
        <v>52</v>
      </c>
      <c r="F42" s="24" t="s">
        <v>52</v>
      </c>
      <c r="G42" s="24" t="s">
        <v>52</v>
      </c>
      <c r="H42" s="24" t="s">
        <v>52</v>
      </c>
      <c r="I42" s="24" t="s">
        <v>52</v>
      </c>
      <c r="J42" s="24" t="s">
        <v>52</v>
      </c>
      <c r="K42" s="24" t="s">
        <v>52</v>
      </c>
    </row>
    <row r="43" spans="1:11" ht="15" customHeight="1" outlineLevel="2" x14ac:dyDescent="0.2">
      <c r="A43" s="29" t="s">
        <v>53</v>
      </c>
      <c r="B43" s="28" t="s">
        <v>52</v>
      </c>
      <c r="C43" s="28" t="s">
        <v>52</v>
      </c>
      <c r="D43" s="28" t="s">
        <v>52</v>
      </c>
      <c r="E43" s="28" t="s">
        <v>52</v>
      </c>
      <c r="F43" s="28" t="s">
        <v>52</v>
      </c>
      <c r="G43" s="28" t="s">
        <v>52</v>
      </c>
      <c r="H43" s="28" t="s">
        <v>52</v>
      </c>
      <c r="I43" s="28" t="s">
        <v>52</v>
      </c>
      <c r="J43" s="28" t="s">
        <v>52</v>
      </c>
      <c r="K43" s="28" t="s">
        <v>52</v>
      </c>
    </row>
    <row r="44" spans="1:11" ht="15" customHeight="1" outlineLevel="1" x14ac:dyDescent="0.2">
      <c r="A44" s="31" t="s">
        <v>56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spans="1:11" ht="15" customHeight="1" outlineLevel="2" x14ac:dyDescent="0.2">
      <c r="A45" s="29" t="s">
        <v>54</v>
      </c>
      <c r="B45" s="28" t="s">
        <v>52</v>
      </c>
      <c r="C45" s="28" t="s">
        <v>52</v>
      </c>
      <c r="D45" s="28" t="s">
        <v>52</v>
      </c>
      <c r="E45" s="28" t="s">
        <v>52</v>
      </c>
      <c r="F45" s="28" t="s">
        <v>52</v>
      </c>
      <c r="G45" s="28" t="s">
        <v>52</v>
      </c>
      <c r="H45" s="28" t="s">
        <v>52</v>
      </c>
      <c r="I45" s="28" t="s">
        <v>52</v>
      </c>
      <c r="J45" s="28" t="s">
        <v>52</v>
      </c>
      <c r="K45" s="28" t="s">
        <v>52</v>
      </c>
    </row>
    <row r="46" spans="1:11" ht="15" customHeight="1" outlineLevel="2" x14ac:dyDescent="0.2">
      <c r="A46" s="25" t="s">
        <v>53</v>
      </c>
      <c r="B46" s="24" t="s">
        <v>52</v>
      </c>
      <c r="C46" s="24" t="s">
        <v>52</v>
      </c>
      <c r="D46" s="24" t="s">
        <v>52</v>
      </c>
      <c r="E46" s="24" t="s">
        <v>52</v>
      </c>
      <c r="F46" s="24" t="s">
        <v>52</v>
      </c>
      <c r="G46" s="24" t="s">
        <v>52</v>
      </c>
      <c r="H46" s="24" t="s">
        <v>52</v>
      </c>
      <c r="I46" s="24" t="s">
        <v>52</v>
      </c>
      <c r="J46" s="24" t="s">
        <v>52</v>
      </c>
      <c r="K46" s="24" t="s">
        <v>52</v>
      </c>
    </row>
    <row r="47" spans="1:11" ht="15" customHeight="1" outlineLevel="1" x14ac:dyDescent="0.2">
      <c r="A47" s="33" t="s">
        <v>55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spans="1:11" ht="15" customHeight="1" outlineLevel="2" x14ac:dyDescent="0.2">
      <c r="A48" s="25" t="s">
        <v>54</v>
      </c>
      <c r="B48" s="24" t="s">
        <v>52</v>
      </c>
      <c r="C48" s="24" t="s">
        <v>52</v>
      </c>
      <c r="D48" s="24" t="s">
        <v>52</v>
      </c>
      <c r="E48" s="24" t="s">
        <v>52</v>
      </c>
      <c r="F48" s="24" t="s">
        <v>52</v>
      </c>
      <c r="G48" s="24" t="s">
        <v>52</v>
      </c>
      <c r="H48" s="24" t="s">
        <v>52</v>
      </c>
      <c r="I48" s="24" t="s">
        <v>52</v>
      </c>
      <c r="J48" s="24" t="s">
        <v>52</v>
      </c>
      <c r="K48" s="24" t="s">
        <v>52</v>
      </c>
    </row>
    <row r="49" spans="1:11" ht="15" customHeight="1" outlineLevel="2" x14ac:dyDescent="0.2">
      <c r="A49" s="29" t="s">
        <v>53</v>
      </c>
      <c r="B49" s="28" t="s">
        <v>52</v>
      </c>
      <c r="C49" s="28" t="s">
        <v>52</v>
      </c>
      <c r="D49" s="28" t="s">
        <v>52</v>
      </c>
      <c r="E49" s="28" t="s">
        <v>52</v>
      </c>
      <c r="F49" s="28" t="s">
        <v>52</v>
      </c>
      <c r="G49" s="28" t="s">
        <v>52</v>
      </c>
      <c r="H49" s="28" t="s">
        <v>52</v>
      </c>
      <c r="I49" s="28" t="s">
        <v>52</v>
      </c>
      <c r="J49" s="28" t="s">
        <v>52</v>
      </c>
      <c r="K49" s="28" t="s">
        <v>52</v>
      </c>
    </row>
    <row r="50" spans="1:11" ht="15" customHeight="1" x14ac:dyDescent="0.2">
      <c r="A50" s="30" t="s">
        <v>59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</row>
    <row r="51" spans="1:11" ht="15" customHeight="1" outlineLevel="1" x14ac:dyDescent="0.2">
      <c r="A51" s="33" t="s">
        <v>58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15" customHeight="1" outlineLevel="2" x14ac:dyDescent="0.2">
      <c r="A52" s="25" t="s">
        <v>54</v>
      </c>
      <c r="B52" s="24" t="s">
        <v>52</v>
      </c>
      <c r="C52" s="24" t="s">
        <v>52</v>
      </c>
      <c r="D52" s="24" t="s">
        <v>52</v>
      </c>
      <c r="E52" s="24" t="s">
        <v>52</v>
      </c>
      <c r="F52" s="24" t="s">
        <v>52</v>
      </c>
      <c r="G52" s="24" t="s">
        <v>52</v>
      </c>
      <c r="H52" s="24" t="s">
        <v>52</v>
      </c>
      <c r="I52" s="24" t="s">
        <v>52</v>
      </c>
      <c r="J52" s="24" t="s">
        <v>52</v>
      </c>
      <c r="K52" s="24" t="s">
        <v>52</v>
      </c>
    </row>
    <row r="53" spans="1:11" ht="15" customHeight="1" outlineLevel="2" x14ac:dyDescent="0.2">
      <c r="A53" s="29" t="s">
        <v>53</v>
      </c>
      <c r="B53" s="28" t="s">
        <v>52</v>
      </c>
      <c r="C53" s="28" t="s">
        <v>52</v>
      </c>
      <c r="D53" s="28" t="s">
        <v>52</v>
      </c>
      <c r="E53" s="28" t="s">
        <v>52</v>
      </c>
      <c r="F53" s="28" t="s">
        <v>52</v>
      </c>
      <c r="G53" s="28" t="s">
        <v>52</v>
      </c>
      <c r="H53" s="28" t="s">
        <v>52</v>
      </c>
      <c r="I53" s="28" t="s">
        <v>52</v>
      </c>
      <c r="J53" s="28" t="s">
        <v>52</v>
      </c>
      <c r="K53" s="28" t="s">
        <v>52</v>
      </c>
    </row>
    <row r="54" spans="1:11" ht="15" customHeight="1" outlineLevel="1" x14ac:dyDescent="0.2">
      <c r="A54" s="31" t="s">
        <v>57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</row>
    <row r="55" spans="1:11" ht="15" customHeight="1" outlineLevel="2" x14ac:dyDescent="0.2">
      <c r="A55" s="29" t="s">
        <v>54</v>
      </c>
      <c r="B55" s="28" t="s">
        <v>52</v>
      </c>
      <c r="C55" s="27">
        <v>5884.34</v>
      </c>
      <c r="D55" s="27">
        <v>5952.08</v>
      </c>
      <c r="E55" s="26">
        <v>298.548</v>
      </c>
      <c r="F55" s="26">
        <v>299.40199999999999</v>
      </c>
      <c r="G55" s="26">
        <v>299.815</v>
      </c>
      <c r="H55" s="26">
        <v>300.31</v>
      </c>
      <c r="I55" s="26">
        <v>5994</v>
      </c>
      <c r="J55" s="26">
        <v>5922</v>
      </c>
      <c r="K55" s="26">
        <v>5855</v>
      </c>
    </row>
    <row r="56" spans="1:11" ht="15" customHeight="1" outlineLevel="2" x14ac:dyDescent="0.2">
      <c r="A56" s="25" t="s">
        <v>53</v>
      </c>
      <c r="B56" s="24" t="s">
        <v>52</v>
      </c>
      <c r="C56" s="23">
        <v>6902.62</v>
      </c>
      <c r="D56" s="23">
        <v>6918.84</v>
      </c>
      <c r="E56" s="22">
        <v>346.101</v>
      </c>
      <c r="F56" s="22">
        <v>346.34199999999998</v>
      </c>
      <c r="G56" s="22">
        <v>346.084</v>
      </c>
      <c r="H56" s="22">
        <v>345.755</v>
      </c>
      <c r="I56" s="22">
        <v>6881</v>
      </c>
      <c r="J56" s="22">
        <v>6799</v>
      </c>
      <c r="K56" s="22">
        <v>6721</v>
      </c>
    </row>
    <row r="57" spans="1:11" ht="15" customHeight="1" outlineLevel="1" x14ac:dyDescent="0.2">
      <c r="A57" s="33" t="s">
        <v>56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ht="15" customHeight="1" outlineLevel="2" x14ac:dyDescent="0.2">
      <c r="A58" s="25" t="s">
        <v>54</v>
      </c>
      <c r="B58" s="24" t="s">
        <v>52</v>
      </c>
      <c r="C58" s="23">
        <v>977.18</v>
      </c>
      <c r="D58" s="23">
        <v>942.92</v>
      </c>
      <c r="E58" s="22">
        <v>46.863999999999997</v>
      </c>
      <c r="F58" s="22">
        <v>46.527000000000001</v>
      </c>
      <c r="G58" s="22">
        <v>46.182000000000002</v>
      </c>
      <c r="H58" s="22">
        <v>45.43</v>
      </c>
      <c r="I58" s="22">
        <v>887</v>
      </c>
      <c r="J58" s="22">
        <v>877</v>
      </c>
      <c r="K58" s="22">
        <v>866</v>
      </c>
    </row>
    <row r="59" spans="1:11" ht="15" customHeight="1" outlineLevel="2" x14ac:dyDescent="0.2">
      <c r="A59" s="29" t="s">
        <v>53</v>
      </c>
      <c r="B59" s="28" t="s">
        <v>52</v>
      </c>
      <c r="C59" s="27">
        <v>977.18</v>
      </c>
      <c r="D59" s="27">
        <v>942.92</v>
      </c>
      <c r="E59" s="26">
        <v>46.863999999999997</v>
      </c>
      <c r="F59" s="26">
        <v>46.527000000000001</v>
      </c>
      <c r="G59" s="26">
        <v>46.182000000000002</v>
      </c>
      <c r="H59" s="26">
        <v>45.43</v>
      </c>
      <c r="I59" s="26">
        <v>887</v>
      </c>
      <c r="J59" s="26">
        <v>877</v>
      </c>
      <c r="K59" s="26">
        <v>866</v>
      </c>
    </row>
    <row r="60" spans="1:11" ht="15" customHeight="1" outlineLevel="1" x14ac:dyDescent="0.2">
      <c r="A60" s="31" t="s">
        <v>55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</row>
    <row r="61" spans="1:11" ht="15" customHeight="1" outlineLevel="2" x14ac:dyDescent="0.2">
      <c r="A61" s="29" t="s">
        <v>54</v>
      </c>
      <c r="B61" s="28" t="s">
        <v>52</v>
      </c>
      <c r="C61" s="27">
        <v>6894.04</v>
      </c>
      <c r="D61" s="27">
        <v>6963.02</v>
      </c>
      <c r="E61" s="26">
        <v>349.72800000000001</v>
      </c>
      <c r="F61" s="26">
        <v>346.66699999999997</v>
      </c>
      <c r="G61" s="26">
        <v>334.81900000000002</v>
      </c>
      <c r="H61" s="26">
        <v>321.91000000000003</v>
      </c>
      <c r="I61" s="26">
        <v>6182</v>
      </c>
      <c r="J61" s="26">
        <v>5831</v>
      </c>
      <c r="K61" s="26">
        <v>5598</v>
      </c>
    </row>
    <row r="62" spans="1:11" ht="15" customHeight="1" outlineLevel="2" x14ac:dyDescent="0.2">
      <c r="A62" s="25" t="s">
        <v>53</v>
      </c>
      <c r="B62" s="24" t="s">
        <v>52</v>
      </c>
      <c r="C62" s="23">
        <v>7071.5</v>
      </c>
      <c r="D62" s="23">
        <v>7152.84</v>
      </c>
      <c r="E62" s="22">
        <v>357.18400000000003</v>
      </c>
      <c r="F62" s="22">
        <v>352.214</v>
      </c>
      <c r="G62" s="22">
        <v>340.94400000000002</v>
      </c>
      <c r="H62" s="22">
        <v>331.91899999999998</v>
      </c>
      <c r="I62" s="22">
        <v>6278</v>
      </c>
      <c r="J62" s="22">
        <v>5923</v>
      </c>
      <c r="K62" s="22">
        <v>5726</v>
      </c>
    </row>
    <row r="63" spans="1:11" ht="15" customHeight="1" x14ac:dyDescent="0.2">
      <c r="A63" s="21" t="s">
        <v>51</v>
      </c>
    </row>
  </sheetData>
  <hyperlinks>
    <hyperlink ref="B10" r:id="rId1" display="fdsup://factset/Doc Viewer Single?float_window=true&amp;positioning_strategy=center_on_screen&amp;_doc_docfn=U2FsdGVkX183bqSVKSg2YY8zpvcU2fDYW3b0bXOgHeY/h+QsQmmBy07x2jYWUAvRbcSBIbzuKO5PwvUrFgFoZzgrIzZ8UJ8i7GOr847KEkY=&amp;_app_id=central_doc_viewer&amp;center_on_screen=true&amp;width=950&amp;height=800&amp;_dd2=%26f%3Dsld%26c%3Dtrue%26os%3D245440%26oe%3D245446" xr:uid="{DC0A3535-AE7D-434A-B1A6-93263EA20FC0}"/>
    <hyperlink ref="C10" r:id="rId2" display="fdsup://factset/Doc Viewer Single?float_window=true&amp;positioning_strategy=center_on_screen&amp;_doc_docfn=U2FsdGVkX1/+bc3JeZptmUJ0TCY1g84BMZ41BEceVjKVgpvoExQTPHpm2Gp5UxEaXEppdbY8T9apcbvdnNyc4KetM/duzAP6Unz0RTQ0w3c=&amp;_app_id=central_doc_viewer&amp;center_on_screen=true&amp;width=950&amp;height=800&amp;_dd2=%26f%3Dsld%26c%3Dtrue%26os%3D64953%26oe%3D64959" xr:uid="{0FC92409-4771-48AB-A6A0-EBAD957FCB6D}"/>
    <hyperlink ref="D10" r:id="rId3" display="fdsup://factset/Doc Viewer Single?float_window=true&amp;positioning_strategy=center_on_screen&amp;_doc_docfn=U2FsdGVkX1/nrg+L9Oty1oqkfUwnQrmydeZePuJcqOFhQalOtkpKYXUcK6YmI0gFY2ZRbkowIY8KxhSW6sW/OAzqEXRzZ/e02h/4DjATfWA=&amp;_app_id=central_doc_viewer&amp;center_on_screen=true&amp;width=950&amp;height=800&amp;_dd2=%26f%3Dsld%26c%3Dtrue%26os%3D62098%26oe%3D62105" xr:uid="{C0AA6A9D-BF8F-4912-8DEE-D7F0D866AAD4}"/>
    <hyperlink ref="E10" r:id="rId4" display="fdsup://factset/Doc Viewer Single?float_window=true&amp;positioning_strategy=center_on_screen&amp;_doc_docfn=U2FsdGVkX18VzWze83vm3my4ZNcbRihgeCKwIobUYM+hyUPEXi1M3smde3fxsBs+hp2ecrf3/p1U1c2BEnU0+UWl1HFKEhfheS8FtpPXd/k=&amp;_app_id=central_doc_viewer&amp;center_on_screen=true&amp;width=950&amp;height=800&amp;_dd2=%26f%3Dsld%26c%3Dtrue%26os%3D63529%26oe%3D63536" xr:uid="{746B4BE9-D83B-4219-9730-B531965D7D8C}"/>
    <hyperlink ref="F10" r:id="rId5" display="fdsup://factset/Doc Viewer Single?float_window=true&amp;positioning_strategy=center_on_screen&amp;_doc_docfn=U2FsdGVkX1+XxP6GHrI+aSjA+01NVTHyGERSCZXmjwjAruc63H7G5tzsOTGfJH2IkBJthjbhm2AatEq+DA9Z5/Bsju9IY282PYlbfZ5z4ew=&amp;_app_id=central_doc_viewer&amp;center_on_screen=true&amp;width=950&amp;height=800&amp;_dd2=%26f%3Dsld%26c%3Dtrue%26os%3D134692%26oe%3D134699" xr:uid="{AFFEFCC2-C844-4299-936F-857DCD56894F}"/>
    <hyperlink ref="G10" r:id="rId6" display="fdsup://factset/Doc Viewer Single?float_window=true&amp;positioning_strategy=center_on_screen&amp;_doc_docfn=U2FsdGVkX18PQqkEh0qZwFtManSVa3DMb0S9FM25qw650pdhPDJLznwbhhORYvyZvayoA7Zz1kzd3hcHTXAMQh52bMpyv+MtO+1byIJ747s=&amp;_app_id=central_doc_viewer&amp;center_on_screen=true&amp;width=950&amp;height=800&amp;_dd2=%26f%3Dsld%26c%3Dtrue%26os%3D199930%26oe%3D199939" xr:uid="{FF59AC19-48F1-4AC6-B0F1-45CB1D129634}"/>
    <hyperlink ref="H10" r:id="rId7" display="fdsup://factset/Doc Viewer Single?float_window=true&amp;positioning_strategy=center_on_screen&amp;_doc_docfn=U2FsdGVkX1/6eKvKVG78nRzc0paD/6hbGbIyTKWiO/YL+vz3mFMIFZYpEB8qdlLa1zuOgvzbiW+VE40h400OorytKW9s19ZQtLd7YiukjyY=&amp;_app_id=central_doc_viewer&amp;center_on_screen=true&amp;width=950&amp;height=800&amp;_dd2=%26f%3Dsld%26c%3Dtrue%26os%3D135302%26oe%3D135311" xr:uid="{DFAF3CA4-3472-4295-B8CD-8A231B63BB7A}"/>
    <hyperlink ref="I10" r:id="rId8" display="fdsup://factset/Doc Viewer Single?float_window=true&amp;positioning_strategy=center_on_screen&amp;_doc_docfn=U2FsdGVkX1+C7BoRfsg2U8W6VyRDo+ss/zvcQMcFRolVb7Bu6uDMZW3eQk3a+6ChY8cd+qoTSYSV9dSzR/wIcV/RT/FzKYqEPyVyVWKgfvM=&amp;_app_id=central_doc_viewer&amp;center_on_screen=true&amp;width=950&amp;height=800&amp;_dd2=%26f%3Dsld%26c%3Dtrue%26os%3D134733%26oe%3D134740" xr:uid="{0A04D755-621A-4D8B-ADED-E857029661F7}"/>
    <hyperlink ref="J10" r:id="rId9" display="fdsup://factset/Doc Viewer Single?float_window=true&amp;positioning_strategy=center_on_screen&amp;_doc_docfn=U2FsdGVkX18heYTaPvCpIq3z9nJLMTFC0qtXBNAbNexZTrSYZg9VAHBoXdY9bqdKM3DAJ8y4eRwsMTDm1WqYe0BPZzUYRz3dfu3yCPJts0U=&amp;_app_id=central_doc_viewer&amp;center_on_screen=true&amp;width=950&amp;height=800&amp;_dd2=%26f%3Dsld%26c%3Dtrue%26os%3D133364%26oe%3D133373" xr:uid="{FFB28DCD-BFF5-4052-8B34-5376A38BE204}"/>
    <hyperlink ref="K10" r:id="rId10" display="fdsup://factset/Doc Viewer Single?float_window=true&amp;positioning_strategy=center_on_screen&amp;_doc_docfn=U2FsdGVkX1/5JGizgriVG2155qFPFCtaxOaC2UJs2AvTAaAy+muqSurqToEd8njwYNyYP8hcZYGPuRw03/NwuwH2V64EuTYnLnPPQmh2ZG8=&amp;_app_id=central_doc_viewer&amp;center_on_screen=true&amp;width=950&amp;height=800&amp;_dd2=%26f%3Dsld%26c%3Dtrue%26os%3D130530%26oe%3D130537" xr:uid="{9FD473F5-29DA-4D3E-84AB-43644D6D4B61}"/>
    <hyperlink ref="B13" r:id="rId11" display="fdsup://factset/Doc Viewer Single?float_window=true&amp;positioning_strategy=center_on_screen&amp;_doc_docfn=U2FsdGVkX1+BUXhBAgfkshN41QLz+E3kphmUqoqrX8+tq4zMDIIUUaTqX5YnNhCqvY0/2448EurHPe237vLOpCZdxnxZ07nLgmPIQg6jklQ=&amp;_app_id=central_doc_viewer&amp;center_on_screen=true&amp;width=950&amp;height=800&amp;_dd2=%26f%3Dsld%26c%3Dtrue%26os%3D260284%26oe%3D260290" xr:uid="{E66DE786-07E6-49D6-8C05-1547B1CEDE5A}"/>
    <hyperlink ref="C13" r:id="rId12" display="fdsup://factset/Doc Viewer Single?float_window=true&amp;positioning_strategy=center_on_screen&amp;_doc_docfn=U2FsdGVkX190tIZMNLRxsZ/DcdV2urzPoNa0Xt47okWcVoxqKe7MLcU7o61R8sSA1sOSCnCn95i2dXLOJxylKMTj3ECVR3X1bkCbwfE+OEQ=&amp;_app_id=central_doc_viewer&amp;center_on_screen=true&amp;width=950&amp;height=800&amp;_dd2=%26f%3Dsld%26c%3Dtrue%26os%3D69167%26oe%3D69173" xr:uid="{31A2184F-F5C9-4372-BE5B-65B8D8CD7CC9}"/>
    <hyperlink ref="D13" r:id="rId13" display="fdsup://factset/Doc Viewer Single?float_window=true&amp;positioning_strategy=center_on_screen&amp;_doc_docfn=U2FsdGVkX1+6h5iuNo0VDrXZWUDR3CdQSPzFQxkITnRQ9TT4yDNRTTE+EjdAjar+fp1kMgOOe4KDtPF4tsd7KMWUWthK2vMkLXLphCFcT1o=&amp;_app_id=central_doc_viewer&amp;center_on_screen=true&amp;width=950&amp;height=800&amp;_dd2=%26f%3Dsld%26c%3Dtrue%26os%3D67074%26oe%3D67080" xr:uid="{3D51A619-15D4-40ED-8D50-0C314404D8DA}"/>
    <hyperlink ref="E13" r:id="rId14" display="fdsup://factset/Doc Viewer Single?float_window=true&amp;positioning_strategy=center_on_screen&amp;_doc_docfn=U2FsdGVkX19xfFZbpQIwe7ODpHi214I54uF4tJbc/+sEYARpEEToOQjZvDYNUeDnFTqnX3Z8BSdayi4xXVb0g7ho3i8UPGwK0HRD4XF0ErQ=&amp;_app_id=central_doc_viewer&amp;center_on_screen=true&amp;width=950&amp;height=800&amp;_dd2=%26f%3Dsld%26c%3Dtrue%26os%3D68610%26oe%3D68617" xr:uid="{D2017F60-E760-4D45-BD26-937D4463E3A3}"/>
    <hyperlink ref="F13" r:id="rId15" display="fdsup://factset/Doc Viewer Single?float_window=true&amp;positioning_strategy=center_on_screen&amp;_doc_docfn=U2FsdGVkX1+X4xx6fAklH1GRdXMulkrxVFqqVV8SDq9xf1d+l7VPHrYqUmxu33VyPRdK0eTB/jtmBPVHTJAPi0LxlYQ4erPUWd+K2+O1v9Y=&amp;_app_id=central_doc_viewer&amp;center_on_screen=true&amp;width=950&amp;height=800&amp;_dd2=%26f%3Dsld%26c%3Dtrue%26os%3D139411%26oe%3D139418" xr:uid="{D95C4DAE-D654-4B49-9C8B-B57972285F36}"/>
    <hyperlink ref="G13" r:id="rId16" display="fdsup://factset/Doc Viewer Single?float_window=true&amp;positioning_strategy=center_on_screen&amp;_doc_docfn=U2FsdGVkX195jLeENgoscGxz9xfOfimM+QpBllpzaSXV8N32Ikdh5GVaFRDpqohr7urjeC00g6KCYYl0ao3CpBRF3vCHghxZZ2Nm4Z9aTek=&amp;_app_id=central_doc_viewer&amp;center_on_screen=true&amp;width=950&amp;height=800&amp;_dd2=%26f%3Dsld%26c%3Dtrue%26os%3D204552%26oe%3D204559" xr:uid="{8D19CE5C-F2CA-45FA-A14B-DCD3A7613A95}"/>
    <hyperlink ref="H13" r:id="rId17" display="fdsup://factset/Doc Viewer Single?float_window=true&amp;positioning_strategy=center_on_screen&amp;_doc_docfn=U2FsdGVkX1/T/cAgYs/PpUibY8opOmeorEDEZ9vgZxpaOZu1Rmi6a4TVh4yLbhd/PylYyCHi5zbFI4iNGdkmYlclBkIv7NvxnGgvFS9RWIA=&amp;_app_id=central_doc_viewer&amp;center_on_screen=true&amp;width=950&amp;height=800&amp;_dd2=%26f%3Dsld%26c%3Dtrue%26os%3D139915%26oe%3D139922" xr:uid="{ECDDA0F7-1980-4E5B-9165-84C9B7845B31}"/>
    <hyperlink ref="I13" r:id="rId18" display="fdsup://factset/Doc Viewer Single?float_window=true&amp;positioning_strategy=center_on_screen&amp;_doc_docfn=U2FsdGVkX1/xCLgPzlA9EVMVq7idE7WDQK880o0fiy1lgR3xOj6bvVPGTKv9RyEd40PKvfXyLxoTrv6lO8RltToEHLmAxNB5F906cGfgp9Q=&amp;_app_id=central_doc_viewer&amp;center_on_screen=true&amp;width=950&amp;height=800&amp;_dd2=%26f%3Dsld%26c%3Dtrue%26os%3D138734%26oe%3D138741" xr:uid="{B401477D-07AB-4919-9A7F-E1B8085F73C4}"/>
    <hyperlink ref="J13" r:id="rId19" display="fdsup://factset/Doc Viewer Single?float_window=true&amp;positioning_strategy=center_on_screen&amp;_doc_docfn=U2FsdGVkX1/EC41au6exT+AbodwCoBHq97hFZjsdWIKrWbbsUi+gfIDQly87PhmN3maQwriwooWvECS1rAxN5bUhsiDzSreKLMAEQycrUq0=&amp;_app_id=central_doc_viewer&amp;center_on_screen=true&amp;width=950&amp;height=800&amp;_dd2=%26f%3Dsld%26c%3Dtrue%26os%3D137367%26oe%3D137374" xr:uid="{6E46C0BE-B1AD-45DA-885B-BCCD86AB6A59}"/>
    <hyperlink ref="K13" r:id="rId20" display="fdsup://factset/Doc Viewer Single?float_window=true&amp;positioning_strategy=center_on_screen&amp;_doc_docfn=U2FsdGVkX1+TzzJmlEPtQrS4ozREyqqDpap3ni2IvKGG7XSUHQQMEU9qEoY9v0tOM658W9qBg+AurpABVwVvnT+7Csv3aiMqDGB8RLq+c5A=&amp;_app_id=central_doc_viewer&amp;center_on_screen=true&amp;width=950&amp;height=800&amp;_dd2=%26f%3Dsld%26c%3Dtrue%26os%3D134533%26oe%3D134540" xr:uid="{62903F5B-4234-4AA2-B164-655CA52BC732}"/>
    <hyperlink ref="B14" r:id="rId21" display="fdsup://factset/Doc Viewer Single?float_window=true&amp;positioning_strategy=center_on_screen&amp;_doc_docfn=U2FsdGVkX1+dP4UMF0MQzt/YE7ZwOeApxguvfwPlyArNiUpm5ampPo8txG5GOkWKcc8cm0QA+jhIl0IHunIQu2EOt5OA0QkH6vH+x/R4OMg=&amp;_app_id=central_doc_viewer&amp;center_on_screen=true&amp;width=950&amp;height=800&amp;_dd2=%26f%3Dsld%26c%3Dtrue%26os%3D249960%26oe%3D249966" xr:uid="{4E51349D-BD91-437D-AF8B-A38026ED6FC4}"/>
    <hyperlink ref="C14" r:id="rId22" display="fdsup://factset/Doc Viewer Single?float_window=true&amp;positioning_strategy=center_on_screen&amp;_doc_docfn=U2FsdGVkX1/c9N8Ykvwna5WLENBWbPjsBBxXY0kJoI0VdbaAwWMinE5MmsDjOqZ28KRkvOc19q/cg6hpwgxFZNT+GPddZiloPziCGJl98Ew=&amp;_app_id=central_doc_viewer&amp;center_on_screen=true&amp;width=950&amp;height=800&amp;_dd2=%26f%3Dsld%26c%3Dtrue%26os%3D66049%26oe%3D66055" xr:uid="{2E1C943A-A869-439E-BFB5-F53D8537C5BC}"/>
    <hyperlink ref="D14" r:id="rId23" display="fdsup://factset/Doc Viewer Single?float_window=true&amp;positioning_strategy=center_on_screen&amp;_doc_docfn=U2FsdGVkX1/xLHgcVwzn/7Wd1kapUqrygXD0iK6dcDFhZzV3NSQ3TEZ0+lKvv3ncHiWRtj87VNrV08Jt062z6KUobHWjjwGq4wOCRWiuI/c=&amp;_app_id=central_doc_viewer&amp;center_on_screen=true&amp;width=950&amp;height=800&amp;_dd2=%26f%3Dsld%26c%3Dtrue%26os%3D63195%26oe%3D63201" xr:uid="{33589635-0CB6-4D2B-A2B7-53A8B75330FA}"/>
    <hyperlink ref="E14" r:id="rId24" display="fdsup://factset/Doc Viewer Single?float_window=true&amp;positioning_strategy=center_on_screen&amp;_doc_docfn=U2FsdGVkX18K/FBvqFjjujuR4fuHElolRIpWLFj/m/+oj4W2gMpYT+aaUTaz2RphFewbK7V019PG2gKHBI1p5iZIr8tqsut3XddIzMItTwk=&amp;_app_id=central_doc_viewer&amp;center_on_screen=true&amp;width=950&amp;height=800&amp;_dd2=%26f%3Dsld%26c%3Dtrue%26os%3D64714%26oe%3D64720" xr:uid="{33077D48-0921-474D-A98E-348E5F740125}"/>
    <hyperlink ref="F14" r:id="rId25" display="fdsup://factset/Doc Viewer Single?float_window=true&amp;positioning_strategy=center_on_screen&amp;_doc_docfn=U2FsdGVkX190Naodem34WogEuubSVZcxsblWAT0a44XvHf7sTgAPm+mr9udPL9iGh61JzYyFosOo1tAPX1XsW2kjU3J3qUGdM9toXJfSIAE=&amp;_app_id=central_doc_viewer&amp;center_on_screen=true&amp;width=950&amp;height=800&amp;_dd2=%26f%3Dsld%26c%3Dtrue%26os%3D135782%26oe%3D135788" xr:uid="{C48ED344-D805-45F3-8319-97532222DFF9}"/>
    <hyperlink ref="G14" r:id="rId26" display="fdsup://factset/Doc Viewer Single?float_window=true&amp;positioning_strategy=center_on_screen&amp;_doc_docfn=U2FsdGVkX1+Su15hPznCQomV3oolLndTanV5sgHvX020RlkcxKHIFNzKKcXApiaOdHbQiIdD/Pp3lw4w1WfKhgKmz8HpXTeJux4wGm4Xw4U=&amp;_app_id=central_doc_viewer&amp;center_on_screen=true&amp;width=950&amp;height=800&amp;_dd2=%26f%3Dsld%26c%3Dtrue%26os%3D200934%26oe%3D200940" xr:uid="{38B08067-D496-4E16-A57A-7FA71AADA219}"/>
    <hyperlink ref="H14" r:id="rId27" display="fdsup://factset/Doc Viewer Single?float_window=true&amp;positioning_strategy=center_on_screen&amp;_doc_docfn=U2FsdGVkX1/KQ7fMbDxkHMPqh15AwTGsLY4Eyue4M1oDAZjZEGtxmwD6ZfDKqQt74WMVXcTALVLO3m2h4vAdD9qaLax6TVfXzMjUdAtOQos=&amp;_app_id=central_doc_viewer&amp;center_on_screen=true&amp;width=950&amp;height=800&amp;_dd2=%26f%3Dsld%26c%3Dtrue%26os%3D136307%26oe%3D136314" xr:uid="{65DCBAA1-A144-4FCD-9400-15BFD5E6E5D3}"/>
    <hyperlink ref="I14" r:id="rId28" display="fdsup://factset/Doc Viewer Single?float_window=true&amp;positioning_strategy=center_on_screen&amp;_doc_docfn=U2FsdGVkX1/DTuU1jXvjCBLAdvxZ6TQ3SM8I/8oJXBzVs3+DpO2kPlnu9UQholcw13P1FWpHpbLT+fyL9FFxj7I9iKnLnfH76tE3PCXgm48=&amp;_app_id=central_doc_viewer&amp;center_on_screen=true&amp;width=950&amp;height=800&amp;_dd2=%26f%3Dsld%26c%3Dtrue%26os%3D135824%26oe%3D135831" xr:uid="{2BD0B099-00FD-4AD1-85FF-FC42D3601B56}"/>
    <hyperlink ref="J14" r:id="rId29" display="fdsup://factset/Doc Viewer Single?float_window=true&amp;positioning_strategy=center_on_screen&amp;_doc_docfn=U2FsdGVkX1/iNzhutW15mB6QD+iqz5F/WfG6AufOP3HTgfCaWRz896nOu8UN5HXFDzoQvE0gzFVBGFZpYAje/3gcm71u47XYUfojA5Coe+4=&amp;_app_id=central_doc_viewer&amp;center_on_screen=true&amp;width=950&amp;height=800&amp;_dd2=%26f%3Dsld%26c%3Dtrue%26os%3D134455%26oe%3D134462" xr:uid="{2D6EBFF3-CE99-428C-9582-9951D0A673FF}"/>
    <hyperlink ref="K14" r:id="rId30" display="fdsup://factset/Doc Viewer Single?float_window=true&amp;positioning_strategy=center_on_screen&amp;_doc_docfn=U2FsdGVkX19ibw7qNHZwkRQTZOWMUKHp/NzjUy6x/i6jsNX2rUuC81Led1sKlQnvqHn6H1J7E6IYSZS9axDpVfny4nRlyXTr+9xqLWhlcTQ=&amp;_app_id=central_doc_viewer&amp;center_on_screen=true&amp;width=950&amp;height=800&amp;_dd2=%26f%3Dsld%26c%3Dtrue%26os%3D131621%26oe%3D131628" xr:uid="{7EF942EE-E670-4274-8B2C-97838A774CF2}"/>
    <hyperlink ref="B16" r:id="rId31" display="fdsup://factset/Doc Viewer Single?float_window=true&amp;positioning_strategy=center_on_screen&amp;_doc_docfn=U2FsdGVkX19LMmQ8b37uhXTVE+BtXn3K9mbMy0WEtUVAX79rr3uiJE2GHHM1WgVV2MUcrpuo83KIRoM+rHmZVzXMwuqGeT28hEEKPOtOAu0=&amp;_app_id=central_doc_viewer&amp;center_on_screen=true&amp;width=950&amp;height=800&amp;_dd2=%26f%3Dsld%26c%3Dtrue%26os%3D252370%26oe%3D252376" xr:uid="{20A76A43-C573-40D8-85C6-9D0ABD0B1490}"/>
    <hyperlink ref="C16" r:id="rId32" display="fdsup://factset/Doc Viewer Single?float_window=true&amp;positioning_strategy=center_on_screen&amp;_doc_docfn=U2FsdGVkX1+mq3029n4c6L0TTnceIvlZl3wNBN8bb5Yn1wdz4jzUlBX3+2JvqSQQXXVW5bhTVDUK4ZbX3gN/6b1uS8ddPgV85IjGhKXf4wY=&amp;_app_id=central_doc_viewer&amp;center_on_screen=true&amp;width=950&amp;height=800&amp;_dd2=%26f%3Dsld%26c%3Dtrue%26os%3D66812%26oe%3D66818" xr:uid="{35EACD9E-64D5-4345-A8AF-7C595640BCE8}"/>
    <hyperlink ref="D16" r:id="rId33" display="fdsup://factset/Doc Viewer Single?float_window=true&amp;positioning_strategy=center_on_screen&amp;_doc_docfn=U2FsdGVkX1+tAJS0XaldfPmRZnoHuXzv8o8sJ08pxcLgBFFHXNtv4MmdP37yTyqojJPrehsZ/5/mlp4YUtQwt751YzVFw4+aqw7UtlF5Oak=&amp;_app_id=central_doc_viewer&amp;center_on_screen=true&amp;width=950&amp;height=800&amp;_dd2=%26f%3Dsld%26c%3Dtrue%26os%3D63958%26oe%3D63964" xr:uid="{65689AD4-3E20-4754-B481-39CB3D7FBFCE}"/>
    <hyperlink ref="E16" r:id="rId34" display="fdsup://factset/Doc Viewer Single?float_window=true&amp;positioning_strategy=center_on_screen&amp;_doc_docfn=U2FsdGVkX1+QldbMQ/fny78mbpaTpepLYk2mn2owmrYb14zRPZBHggfwI+KIynfRrXf/s1V62dASgatNzReadaka8STVA7bLgHMn31ow6uU=&amp;_app_id=central_doc_viewer&amp;center_on_screen=true&amp;width=950&amp;height=800&amp;_dd2=%26f%3Dsld%26c%3Dtrue%26os%3D65477%26oe%3D65483" xr:uid="{640F6738-D5D3-4643-9AC1-6D996774386D}"/>
    <hyperlink ref="F16" r:id="rId35" display="fdsup://factset/Doc Viewer Single?float_window=true&amp;positioning_strategy=center_on_screen&amp;_doc_docfn=U2FsdGVkX18I5QBW46IAjMV3Ba/FLdqmUz9pnFlyFlekXX49alwy/9QQawTxAW7E/FiavwXw7Y5ICEwiFoS7WyEGmgMvcCUHXEvomibeiJ8=&amp;_app_id=central_doc_viewer&amp;center_on_screen=true&amp;width=950&amp;height=800&amp;_dd2=%26f%3Dsld%26c%3Dtrue%26os%3D136489%26oe%3D136495" xr:uid="{60C8F035-9F61-4B93-A7F9-DEF6CC4D6095}"/>
    <hyperlink ref="G16" r:id="rId36" display="fdsup://factset/Doc Viewer Single?float_window=true&amp;positioning_strategy=center_on_screen&amp;_doc_docfn=U2FsdGVkX1+Ssnqt+MQ3nGxbZbcE93uYD9IQ+/kYA2Zdpldp8Sq6cfzQdHwh97eKDGYc3S3nTBRpyCgTl53gIczxYlMYuTByYQhpevUjDrM=&amp;_app_id=central_doc_viewer&amp;center_on_screen=true&amp;width=950&amp;height=800&amp;_dd2=%26f%3Dsld%26c%3Dtrue%26os%3D201641%26oe%3D201647" xr:uid="{C3B2091D-BD4E-4B4E-894C-63D11D0A794E}"/>
    <hyperlink ref="H16" r:id="rId37" display="fdsup://factset/Doc Viewer Single?float_window=true&amp;positioning_strategy=center_on_screen&amp;_doc_docfn=U2FsdGVkX1//gzOYWQT6CcEgPJqbRuqjvmkV5WGLMWcP7DZt0ScrhTxxDdBM9KqWS0+lA2AW8cv1gxyLe2rPP/VaxXT27tKf2484jJPBIbY=&amp;_app_id=central_doc_viewer&amp;center_on_screen=true&amp;width=950&amp;height=800&amp;_dd2=%26f%3Dsld%26c%3Dtrue%26os%3D137015%26oe%3D137021" xr:uid="{0C996972-B344-4502-82B8-1A7918302A5F}"/>
    <hyperlink ref="I16" r:id="rId38" display="fdsup://factset/Doc Viewer Single?float_window=true&amp;positioning_strategy=center_on_screen&amp;_doc_docfn=U2FsdGVkX19Ue6XE8uuHjvr0DBJnSZdbWBwXHaLvjq0JJXNeTKm2MyweiwPmMapYeeAvoBzJILwKnuqu3wQw/cb8UGsagpYDp6wcGh5qxVc=&amp;_app_id=central_doc_viewer&amp;center_on_screen=true&amp;width=950&amp;height=800&amp;_dd2=%26f%3Dsld%26c%3Dtrue%26os%3D136534%26oe%3D136540" xr:uid="{26FA80BC-D2E2-4FE0-BAF9-29371B773791}"/>
    <hyperlink ref="J16" r:id="rId39" display="fdsup://factset/Doc Viewer Single?float_window=true&amp;positioning_strategy=center_on_screen&amp;_doc_docfn=U2FsdGVkX1/Nmy8p3N3R/SrWfbOUFugJEfjGvXlnfFxbEJWRkruc/Unf+GmFHIjRIhBHin+sVtyDu+qYooCUqTS5PWAGCmBzdC5oCWkHHYo=&amp;_app_id=central_doc_viewer&amp;center_on_screen=true&amp;width=950&amp;height=800&amp;_dd2=%26f%3Dsld%26c%3Dtrue%26os%3D135167%26oe%3D135173" xr:uid="{47C0D75A-869C-435D-93D8-217CAE2D78F4}"/>
    <hyperlink ref="K16" r:id="rId40" display="fdsup://factset/Doc Viewer Single?float_window=true&amp;positioning_strategy=center_on_screen&amp;_doc_docfn=U2FsdGVkX1+bF9IekvpmW2LWG0hBJrzxS+uZ8RswSTzx4rIhnvksKTFfNehFsQvbsRXp+NfClsZv+Wc65Wy7HMAktHtKBdTEWnOtn9hUXRM=&amp;_app_id=central_doc_viewer&amp;center_on_screen=true&amp;width=950&amp;height=800&amp;_dd2=%26f%3Dsld%26c%3Dtrue%26os%3D132333%26oe%3D132339" xr:uid="{20DB9D12-72C0-43F2-9DAF-783A9C673B01}"/>
    <hyperlink ref="B17" r:id="rId41" display="fdsup://factset/Doc Viewer Single?float_window=true&amp;positioning_strategy=center_on_screen&amp;_doc_docfn=U2FsdGVkX1+zy8b8QF1gq/lRWKCewqMPfsIKq2n5+2MNXQtIhlswJiMmkD0QDxZo3L9kbgNtVw1BT/8hpPehwMez77upbTR8C3Lnkw1EbtU=&amp;_app_id=central_doc_viewer&amp;center_on_screen=true&amp;width=950&amp;height=800&amp;_dd2=%26f%3Dsld%26c%3Dtrue%26os%3D255025%26oe%3D255030" xr:uid="{E6DC859E-9FD0-40E2-9909-B918EDFB0FCF}"/>
    <hyperlink ref="C17" r:id="rId42" display="fdsup://factset/Doc Viewer Single?float_window=true&amp;positioning_strategy=center_on_screen&amp;_doc_docfn=U2FsdGVkX1+bAozPxAfTUy9UrbumQ5WYxy/CLZ3pq2bevLRGciB1sTskPTkF41qwBPj4IxNu8wTAlwShihKFBGvZRvmiy5m22fZ82nVCPtU=&amp;_app_id=central_doc_viewer&amp;center_on_screen=true&amp;width=950&amp;height=800&amp;_dd2=%26f%3Dsld%26c%3Dtrue%26os%3D67597%26oe%3D67603" xr:uid="{E463698D-0C59-4ED4-820B-5B248648AA71}"/>
    <hyperlink ref="D17" r:id="rId43" display="fdsup://factset/Doc Viewer Single?float_window=true&amp;positioning_strategy=center_on_screen&amp;_doc_docfn=U2FsdGVkX1/auqezBl+RTpZV4pBtAPaYbNYLgUKLpobiiIQ6MKCBXsv8h5xXnjihG9tqRQ821q55Qre90rbQ0PHC9Qxr1f2SJRcGd0Bx/OE=&amp;_app_id=central_doc_viewer&amp;center_on_screen=true&amp;width=950&amp;height=800&amp;_dd2=%26f%3Dsld%26c%3Dtrue%26os%3D64745%26oe%3D64751" xr:uid="{4E8B0BF1-2C13-498C-A508-29CA2BAF9507}"/>
    <hyperlink ref="E17" r:id="rId44" display="fdsup://factset/Doc Viewer Single?float_window=true&amp;positioning_strategy=center_on_screen&amp;_doc_docfn=U2FsdGVkX18Rb7K1lPKCvbscGNONzQLmf9L685znne/2I6gpvf72Gau0nDt55N7Qd6B+YL5KjzAoYdZ6OujvRR4ACocyea4kSMpd0QEwP7o=&amp;_app_id=central_doc_viewer&amp;center_on_screen=true&amp;width=950&amp;height=800&amp;_dd2=%26f%3Dsld%26c%3Dtrue%26os%3D66264%26oe%3D66270" xr:uid="{A005FD54-35A9-428E-B5EA-5D6DC475A96E}"/>
    <hyperlink ref="F17" r:id="rId45" display="fdsup://factset/Doc Viewer Single?float_window=true&amp;positioning_strategy=center_on_screen&amp;_doc_docfn=U2FsdGVkX18lROn2hjTA5/dfewg15XUQCUuDzWtbrDeZ7/dXR6WNWTORWI3/uvBnPXpvWog9H0p8a5PjNewrLuiQcN65BeqK7hXMkJZvCw4=&amp;_app_id=central_doc_viewer&amp;center_on_screen=true&amp;width=950&amp;height=800&amp;_dd2=%26f%3Dsld%26c%3Dtrue%26os%3D137220%26oe%3D137226" xr:uid="{990EFD34-23E1-46FD-A85E-DD9486A7ED06}"/>
    <hyperlink ref="G17" r:id="rId46" display="fdsup://factset/Doc Viewer Single?float_window=true&amp;positioning_strategy=center_on_screen&amp;_doc_docfn=U2FsdGVkX19m0y5qTVxDwaukNA1Qv9dzyPSqy3AwVKvK0ER7SPeR/QVbx40vp9QH/Xxb7l9R0XjG9SI+Hq24DKvNxxaPq0yZ3HZOPPB8gDE=&amp;_app_id=central_doc_viewer&amp;center_on_screen=true&amp;width=950&amp;height=800&amp;_dd2=%26f%3Dsld%26c%3Dtrue%26os%3D202372%26oe%3D202378" xr:uid="{C5BC7A79-D47F-4C6B-BDBE-39B1CCD6B2C6}"/>
    <hyperlink ref="H17" r:id="rId47" display="fdsup://factset/Doc Viewer Single?float_window=true&amp;positioning_strategy=center_on_screen&amp;_doc_docfn=U2FsdGVkX19D2E0tSihWdTELoFyuSCT8k5bN2qMthSNwTurH/RRNNObKNLoIHnEiRtSwelCTwhFSyzRHjCBe8cYnlqU7wRj+ERTN9X6cG0g=&amp;_app_id=central_doc_viewer&amp;center_on_screen=true&amp;width=950&amp;height=800&amp;_dd2=%26f%3Dsld%26c%3Dtrue%26os%3D137746%26oe%3D137752" xr:uid="{5BD53465-7B96-4E46-93F0-E174005694E4}"/>
    <hyperlink ref="I17" r:id="rId48" display="fdsup://factset/Doc Viewer Single?float_window=true&amp;positioning_strategy=center_on_screen&amp;_doc_docfn=U2FsdGVkX19Q8qBZqEoupNjpQHuUrSAK2/HRAOxHEuUBNNMPOq8hJbB2cGOMtGEfm0yflW3HrIdcPhd7SfkxrOGL7AFe6k2kSwbjA91fK80=&amp;_app_id=central_doc_viewer&amp;center_on_screen=true&amp;width=950&amp;height=800&amp;_dd2=%26f%3Dsld%26c%3Dtrue%26os%3D137265%26oe%3D137271" xr:uid="{33AA9B96-4C1E-404E-A2FA-862E6BAC6121}"/>
    <hyperlink ref="J17" r:id="rId49" display="fdsup://factset/Doc Viewer Single?float_window=true&amp;positioning_strategy=center_on_screen&amp;_doc_docfn=U2FsdGVkX18Rk+wu+e6eKrzzgAedTX2AqPQhkuZ5kTxOwS++vuP/R46ksaR6yqH27w8/OCf9oTULo5UPBMKsgu4nN7KsqhGdkTadTg6wlZw=&amp;_app_id=central_doc_viewer&amp;center_on_screen=true&amp;width=950&amp;height=800&amp;_dd2=%26f%3Dsld%26c%3Dtrue%26os%3D135898%26oe%3D135904" xr:uid="{7D6412F4-E457-4E87-B855-278E57BFA28B}"/>
    <hyperlink ref="K17" r:id="rId50" display="fdsup://factset/Doc Viewer Single?float_window=true&amp;positioning_strategy=center_on_screen&amp;_doc_docfn=U2FsdGVkX1+3/VtfZpcUusWNzMTlwzhsMzQBqin2O4pVVkECOzHbgk8kB1BWGcO8TfSVc5YfQZtUb7xOy/bTb0NoQmnBLtNBqip2VwkXNHA=&amp;_app_id=central_doc_viewer&amp;center_on_screen=true&amp;width=950&amp;height=800&amp;_dd2=%26f%3Dsld%26c%3Dtrue%26os%3D133064%26oe%3D133070" xr:uid="{C57F9A34-FDB4-4B47-AED7-DAC27026D8E5}"/>
    <hyperlink ref="B18" r:id="rId51" display="fdsup://factset/Doc Viewer Single?float_window=true&amp;positioning_strategy=center_on_screen&amp;_doc_docfn=U2FsdGVkX191RUfYhMth7ACaAMr2J+5jSbjc3+vY1fRH/+fQrfGWesT95UWFdhDQgs4pbFMolxRSUzDCGjB6C27MWRtpyPKGIJJsjF8+Yrs=&amp;_app_id=central_doc_viewer&amp;center_on_screen=true&amp;width=950&amp;height=800&amp;_dd2=%26f%3Dsld%26c%3Dtrue%26os%3D257436%26oe%3D257441" xr:uid="{5B775B03-4444-4788-B1C5-F917286B425E}"/>
    <hyperlink ref="C18" r:id="rId52" display="fdsup://factset/Doc Viewer Single?float_window=true&amp;positioning_strategy=center_on_screen&amp;_doc_docfn=U2FsdGVkX18GGZuJ60m3foMaadWIZ0QBqea4X7Ea9sFKVvoIiNHT4i21XRkga4RXUlBWT5GbxbMfuwXiXOhU5h1/RRbVr2Dp68uKpwK0oYM=&amp;_app_id=central_doc_viewer&amp;center_on_screen=true&amp;width=950&amp;height=800&amp;_dd2=%26f%3Dsld%26c%3Dtrue%26os%3D68385%26oe%3D68390" xr:uid="{7C9187D2-604E-49A1-A62D-3F410C20F55A}"/>
    <hyperlink ref="D18" r:id="rId53" display="fdsup://factset/Doc Viewer Single?float_window=true&amp;positioning_strategy=center_on_screen&amp;_doc_docfn=U2FsdGVkX18nkzHh88jSh1XXXHJXLhRCogWQMUp5ZA4qurpZjkTibH7GGJaMfdOgRMK8mCxIXnQ486v/u5ELXb0jVCNW7g+6GcStIeWlXWQ=&amp;_app_id=central_doc_viewer&amp;center_on_screen=true&amp;width=950&amp;height=800&amp;_dd2=%26f%3Dsld%26c%3Dtrue%26os%3D65535%26oe%3D65540" xr:uid="{B03477F0-5D6B-4FA5-BCE9-AD6E79E078C2}"/>
    <hyperlink ref="E18" r:id="rId54" display="fdsup://factset/Doc Viewer Single?float_window=true&amp;positioning_strategy=center_on_screen&amp;_doc_docfn=U2FsdGVkX1+mhFBrosoisFUa0fl53sKzuuuiF88d8MVQKiCrIQXVeW9vwcbdFMP6kE5W74c8U2l42aIBzI+FN/ao1e5SoUKQFn68KLbaf1Q=&amp;_app_id=central_doc_viewer&amp;center_on_screen=true&amp;width=950&amp;height=800&amp;_dd2=%26f%3Dsld%26c%3Dtrue%26os%3D67056%26oe%3D67061" xr:uid="{AB0F5B21-CECF-446D-87E7-4673DF1F5E07}"/>
    <hyperlink ref="F18" r:id="rId55" display="fdsup://factset/Doc Viewer Single?float_window=true&amp;positioning_strategy=center_on_screen&amp;_doc_docfn=U2FsdGVkX18w6EwwRZqM37tnSro++25mLvYaFo40tK5GJSIRW0up8oWjZYxv7XQOng1J9IsX/ogqpdVVc5iF8btUMC7X+KTj/ULvanYtroc=&amp;_app_id=central_doc_viewer&amp;center_on_screen=true&amp;width=950&amp;height=800&amp;_dd2=%26f%3Dsld%26c%3Dtrue%26os%3D137956%26oe%3D137961" xr:uid="{F4FFB99A-7760-4204-9C0A-42DFEE2A081E}"/>
    <hyperlink ref="G18" r:id="rId56" display="fdsup://factset/Doc Viewer Single?float_window=true&amp;positioning_strategy=center_on_screen&amp;_doc_docfn=U2FsdGVkX19O8QAE9FuPWeKDXEFFuXR8irat/s65oyzJf+u1iuHhncLEzi/8CMzZAOrM4m9BUOt998j0m/ZgZqyU0fXrM/1W1jhn5LvvXBU=&amp;_app_id=central_doc_viewer&amp;center_on_screen=true&amp;width=950&amp;height=800&amp;_dd2=%26f%3Dsld%26c%3Dtrue%26os%3D203109%26oe%3D203115" xr:uid="{4AF7ADC3-7D41-440D-BCB5-047F34766D28}"/>
    <hyperlink ref="H18" r:id="rId57" display="fdsup://factset/Doc Viewer Single?float_window=true&amp;positioning_strategy=center_on_screen&amp;_doc_docfn=U2FsdGVkX1+G7ueJbbohH9+K9fHgcawfQbLUMk5ux6tEafBzbmZ5anPHmkNDybV71VvrZQzITDYnncU55UEUF1JoCxYWNm0uTvSNlHhhqZU=&amp;_app_id=central_doc_viewer&amp;center_on_screen=true&amp;width=950&amp;height=800&amp;_dd2=%26f%3Dsld%26c%3Dtrue%26os%3D138483%26oe%3D138489" xr:uid="{FADFD0ED-7E15-4354-AE44-9753F9B54A7E}"/>
    <hyperlink ref="I18" r:id="rId58" display="fdsup://factset/Doc Viewer Single?float_window=true&amp;positioning_strategy=center_on_screen&amp;_doc_docfn=U2FsdGVkX18uOlb93L5JMWtUAwqXUM1j7utaP/nLcSvl5icZjl94Ae9NKnZCsX16gJd1ZfuOTjiUVu3DuhG+zVS66hGWi8ZwW2fverMzats=&amp;_app_id=central_doc_viewer&amp;center_on_screen=true&amp;width=950&amp;height=800&amp;_dd2=%26f%3Dsld%26c%3Dtrue%26os%3D138002%26oe%3D138008" xr:uid="{062C4685-D918-4B7A-8CF9-3CD75ECE9654}"/>
    <hyperlink ref="J18" r:id="rId59" display="fdsup://factset/Doc Viewer Single?float_window=true&amp;positioning_strategy=center_on_screen&amp;_doc_docfn=U2FsdGVkX1+avTOeOpa8Pfy+Ygeo7jodcibkHW/4xAE4Cg+VXtwY9glsioJugH2wpKVe+TEBzweO44jPScAmvF81j4xSMg7P8YuJe4evyLs=&amp;_app_id=central_doc_viewer&amp;center_on_screen=true&amp;width=950&amp;height=800&amp;_dd2=%26f%3Dsld%26c%3Dtrue%26os%3D136635%26oe%3D136641" xr:uid="{38185DB4-FF58-4B32-A7CE-46D88A83C796}"/>
    <hyperlink ref="K18" r:id="rId60" display="fdsup://factset/Doc Viewer Single?float_window=true&amp;positioning_strategy=center_on_screen&amp;_doc_docfn=U2FsdGVkX18V9pU6QhrsHarEhVSlYwAfbe5Av/2TP7iyC5w0hgOwbBQHUI4STWyEVV6WT/JvwngOtZmwkouC9cN8NZgxOVhuGGrHwCXsKSw=&amp;_app_id=central_doc_viewer&amp;center_on_screen=true&amp;width=950&amp;height=800&amp;_dd2=%26f%3Dsld%26c%3Dtrue%26os%3D133801%26oe%3D133807" xr:uid="{00D87D17-FE86-4E70-8C6D-70D3C67CCFE8}"/>
    <hyperlink ref="D19" r:id="rId61" display="fdsup://factset/Doc Viewer Single?float_window=true&amp;positioning_strategy=center_on_screen&amp;_doc_docfn=U2FsdGVkX19xRzzvg7ORXx+9UltGZX7Fh6yGkN+jyKSVgZmWb3KbQz5Z6BCi1JNAU0ulcJ/VPFx02mHHcrQLvfkiWMPkyWYX1BozQCZ/Hag=&amp;_app_id=central_doc_viewer&amp;center_on_screen=true&amp;width=950&amp;height=800&amp;_dd2=%26f%3Dsld%26c%3Dtrue%26os%3D66326%26oe%3D66331" xr:uid="{2DFC31E1-486D-4714-8CE5-86B0CFCE5E14}"/>
    <hyperlink ref="E19" r:id="rId62" display="fdsup://factset/Doc Viewer Single?float_window=true&amp;positioning_strategy=center_on_screen&amp;_doc_docfn=U2FsdGVkX1/hIy2O7/256yBpcqRJH5pFsFf+HQOk+Zd/I/fAfo0tTjRjfvKkZN/9QQfbXcQ3HkTTaS0WrgQQkcZOd78//SOyVKg470z/bgc=&amp;_app_id=central_doc_viewer&amp;center_on_screen=true&amp;width=950&amp;height=800&amp;_dd2=%26f%3Dsld%26c%3Dtrue%26os%3D67848%26oe%3D67853" xr:uid="{CC8E27EB-9260-4CF7-B5C5-609FF1B861A3}"/>
    <hyperlink ref="F19" r:id="rId63" display="fdsup://factset/Doc Viewer Single?float_window=true&amp;positioning_strategy=center_on_screen&amp;_doc_docfn=U2FsdGVkX1/1+/0KorESBsfC2z9ChEijd1pXmEPeTh9qvZ1E+l/tHMUbk9d2kN119cK12WXK8HGvS6rLYnsaMlZ68H59wBNtK+42xKMIDr8=&amp;_app_id=central_doc_viewer&amp;center_on_screen=true&amp;width=950&amp;height=800&amp;_dd2=%26f%3Dsld%26c%3Dtrue%26os%3D138692%26oe%3D138697" xr:uid="{ED870D84-E8A3-44E6-8D92-2182B5095535}"/>
    <hyperlink ref="G19" r:id="rId64" display="fdsup://factset/Doc Viewer Single?float_window=true&amp;positioning_strategy=center_on_screen&amp;_doc_docfn=U2FsdGVkX1+WjZ+d3m+Ern/2QnIjR3g6vVr3qfmqYm1mNa/HV63YTtuk/j9YDicubsQGp4qqkU00of7qPy2b3A0+HM6Tmc96wOaBnrhuh24=&amp;_app_id=central_doc_viewer&amp;center_on_screen=true&amp;width=950&amp;height=800&amp;_dd2=%26f%3Dsld%26c%3Dtrue%26os%3D203837%26oe%3D203838" xr:uid="{3F2DD99B-A2EE-4529-A2DE-6B7D59CACA74}"/>
    <hyperlink ref="H19" r:id="rId65" display="fdsup://factset/Doc Viewer Single?float_window=true&amp;positioning_strategy=center_on_screen&amp;_doc_docfn=U2FsdGVkX19XbV77jLRqPnhVzRZpPJOFi/dnoNlr2PSw1lNm3+ixx+UfmW0DA4JPgBoDfemtFoXWJD8vHL6c+Nz4B0Uqwg67BMpi1WVUwHA=&amp;_app_id=central_doc_viewer&amp;center_on_screen=true&amp;width=950&amp;height=800&amp;_dd2=%26f%3Dsld%26c%3Dtrue%26os%3D139213%26oe%3D139214" xr:uid="{4B1AD8E8-1B17-484F-86AF-BB55C681F46C}"/>
    <hyperlink ref="B23" r:id="rId66" display="fdsup://factset/Doc Viewer Single?float_window=true&amp;positioning_strategy=center_on_screen&amp;_doc_docfn=U2FsdGVkX1+qjBaa+zPXuIQBfIC1z+RgEJxp9S80PUd1b1ndtMfM+5ShL07DGsNU907A5MImj89kXATDv+RfpU4Zj8GBrlUzI/K70XX1xYM=&amp;_app_id=central_doc_viewer&amp;center_on_screen=true&amp;width=950&amp;height=800&amp;_dd2=%26f%3Dsld%26c%3Dtrue%26os%3D262908%26oe%3D262914" xr:uid="{3D90962C-71B0-4FCD-B9D0-6FDEBB3559FF}"/>
    <hyperlink ref="C23" r:id="rId67" display="fdsup://factset/Doc Viewer Single?float_window=true&amp;positioning_strategy=center_on_screen&amp;_doc_docfn=U2FsdGVkX188vCmeOa4N9ZrktfOSsKHzqD/co8Ii1Z1XbPHMmqMk6QtH/bLGB7EPvkzpwbK1ToaRdthhqsdO+g8TmC6qLCDQdC0rA3t3zCk=&amp;_app_id=central_doc_viewer&amp;center_on_screen=true&amp;width=950&amp;height=800&amp;_dd2=%26f%3Dsld%26c%3Dtrue%26os%3D69925%26oe%3D69931" xr:uid="{5C64859A-89CC-4DA4-A7FF-A6B1835CD1A2}"/>
    <hyperlink ref="D23" r:id="rId68" display="fdsup://factset/Doc Viewer Single?float_window=true&amp;positioning_strategy=center_on_screen&amp;_doc_docfn=U2FsdGVkX1+2wM1A3Tz2kH0Buoh7cX7VYta/kPAo8V4E2SP2CRrPoUQfa5T25qg7yhrnuguhiJdzFFMQ6n6BHRo5G4mqjABEX9nxNLu9SCk=&amp;_app_id=central_doc_viewer&amp;center_on_screen=true&amp;width=950&amp;height=800&amp;_dd2=%26f%3Dsld%26c%3Dtrue%26os%3D67832%26oe%3D67838" xr:uid="{DA1D8745-BB0B-46C1-9E36-EBD5C8A48B22}"/>
    <hyperlink ref="E23" r:id="rId69" display="fdsup://factset/Doc Viewer Single?float_window=true&amp;positioning_strategy=center_on_screen&amp;_doc_docfn=U2FsdGVkX1/GutqNL98bNfZARff8M7oOQVDeS6PbMliW0OyuAp58fOZfHMVM5+eD1+EgBq4eYeaejtrGP/9YGglqUwGhkPvzrFJ81kA9fxY=&amp;_app_id=central_doc_viewer&amp;center_on_screen=true&amp;width=950&amp;height=800&amp;_dd2=%26f%3Dsld%26c%3Dtrue%26os%3D69369%26oe%3D69375" xr:uid="{CBA77A14-6910-478B-9205-43B17DABDB29}"/>
    <hyperlink ref="F23" r:id="rId70" display="fdsup://factset/Doc Viewer Single?float_window=true&amp;positioning_strategy=center_on_screen&amp;_doc_docfn=U2FsdGVkX1/8MHxzMUVHcBuKrZm6l6wTxXniowOTqXk/P6OfP3weLxA5U0WlJllGrNeq/eaWxBmt9SKYeFCNjhjDi7TLZUaeg63Qz4iE1R8=&amp;_app_id=central_doc_viewer&amp;center_on_screen=true&amp;width=950&amp;height=800&amp;_dd2=%26f%3Dsld%26c%3Dtrue%26os%3D140116%26oe%3D140122" xr:uid="{32534CF6-4160-4B36-9647-6FAD4F8F5AB8}"/>
    <hyperlink ref="G23" r:id="rId71" display="fdsup://factset/Doc Viewer Single?float_window=true&amp;positioning_strategy=center_on_screen&amp;_doc_docfn=U2FsdGVkX1+48z1+4dpNrR3Btio4Xl7NiytK1JMtAF5CD2jjGH4hJtWRtSI0JwipeM08zKa+JeQsztHa4Lv76wdi/44Jrp2YrsaVLhAdCCc=&amp;_app_id=central_doc_viewer&amp;center_on_screen=true&amp;width=950&amp;height=800&amp;_dd2=%26f%3Dsld%26c%3Dtrue%26os%3D205259%26oe%3D205265" xr:uid="{0F7B7858-93D6-47B2-9776-1A38C951D4D9}"/>
    <hyperlink ref="H23" r:id="rId72" display="fdsup://factset/Doc Viewer Single?float_window=true&amp;positioning_strategy=center_on_screen&amp;_doc_docfn=U2FsdGVkX1+tdUQqG30fRnlDSy4jKOwtuIrI8A1KPWL6dyM/tP7iXTLDUl+xRPvq15B8YlKtN5iXYwahzSLlAIZDmcmsHEcrDa2+OEEy/VI=&amp;_app_id=central_doc_viewer&amp;center_on_screen=true&amp;width=950&amp;height=800&amp;_dd2=%26f%3Dsld%26c%3Dtrue%26os%3D140622%26oe%3D140628" xr:uid="{5DE62F06-304E-433C-8BFD-AEC0B43930B9}"/>
    <hyperlink ref="I23" r:id="rId73" display="fdsup://factset/Doc Viewer Single?float_window=true&amp;positioning_strategy=center_on_screen&amp;_doc_docfn=U2FsdGVkX1+sog5PCPKmeELSXLwancbzPO5017jfb1wLpvLcsLZoU0nGe6qXwkM+3AJ3LT/6s59moUBnsEg5RTId60hs1FpMijvfxGCsHzQ=&amp;_app_id=central_doc_viewer&amp;center_on_screen=true&amp;width=950&amp;height=800&amp;_dd2=%26f%3Dsld%26c%3Dtrue%26os%3D139441%26oe%3D139447" xr:uid="{F04A5667-6F61-4C91-926B-DD482A72DB92}"/>
    <hyperlink ref="J23" r:id="rId74" display="fdsup://factset/Doc Viewer Single?float_window=true&amp;positioning_strategy=center_on_screen&amp;_doc_docfn=U2FsdGVkX1+UHkIEhlPsvNjWz3MQBvkQtONVSkF/7fpHk5+p3zrdH5E/251bIQIyDtiJG0HGtpawdoK+tzZWfmUa4jGQSVgT/SXScQBp6Uk=&amp;_app_id=central_doc_viewer&amp;center_on_screen=true&amp;width=950&amp;height=800&amp;_dd2=%26f%3Dsld%26c%3Dtrue%26os%3D138074%26oe%3D138080" xr:uid="{58512EA8-4B21-4D6F-B0C0-C089320C50B6}"/>
    <hyperlink ref="K23" r:id="rId75" display="fdsup://factset/Doc Viewer Single?float_window=true&amp;positioning_strategy=center_on_screen&amp;_doc_docfn=U2FsdGVkX1/k4oG1hVBIffze6298A7n79j7wHpRhntBmHWOZ2Xjx78Hfvxj24Z4p2jxq+Yb/lwnV/nUMHjO4GVtWgGN3W3W3j2/JCaX2V0A=&amp;_app_id=central_doc_viewer&amp;center_on_screen=true&amp;width=950&amp;height=800&amp;_dd2=%26f%3Dsld%26c%3Dtrue%26os%3D135241%26oe%3D135248" xr:uid="{B7D3F98E-CB17-4C79-851D-6427A68A0B45}"/>
    <hyperlink ref="B25" r:id="rId76" display="fdsup://factset/Doc Viewer Single?float_window=true&amp;positioning_strategy=center_on_screen&amp;_doc_docfn=U2FsdGVkX18rqAeLB0LphhiOFFyv4uFLBo6WF44xFmlJSUbRMemhxGy9wIJZ4Ira/84tqVewdrK1UD+JSe8oFzAWg2Sk9BHE4mkBqBzBO4M=&amp;_app_id=central_doc_viewer&amp;center_on_screen=true&amp;width=950&amp;height=800&amp;_dd2=%26f%3Dsld%26c%3Dtrue%26os%3D265640%26oe%3D265643" xr:uid="{78A9A370-A41A-458D-92BB-531494786BAF}"/>
    <hyperlink ref="C25" r:id="rId77" display="fdsup://factset/Doc Viewer Single?float_window=true&amp;positioning_strategy=center_on_screen&amp;_doc_docfn=U2FsdGVkX19SsOWtH2mUfzUYq84DAj21gCXlJMMiB8Xn7axvwATlyGm/BBn+5yePezfy4QL/u6j5xoAL/xmhrQEA/deALNv+JS+CeLee2DU=&amp;_app_id=central_doc_viewer&amp;center_on_screen=true&amp;width=950&amp;height=800&amp;_dd2=%26f%3Dsld%26c%3Dtrue%26os%3D70697%26oe%3D70700" xr:uid="{E8803F0F-3381-4BA0-9F01-3DA6C285427A}"/>
    <hyperlink ref="D25" r:id="rId78" display="fdsup://factset/Doc Viewer Single?float_window=true&amp;positioning_strategy=center_on_screen&amp;_doc_docfn=U2FsdGVkX18p9o6wKuzc1e55S8R9eQHIIUeJNhVpuOejKtowwGFt2R4EuXzkgTIkGJGWIzs3bet07DTwiBI18T/lXEQo5GRHesEHTbU61Z0=&amp;_app_id=central_doc_viewer&amp;center_on_screen=true&amp;width=950&amp;height=800&amp;_dd2=%26f%3Dsld%26c%3Dtrue%26os%3D68605%26oe%3D68610" xr:uid="{52BD8381-32A2-4AC2-BA7E-C226EC5E3875}"/>
    <hyperlink ref="E25" r:id="rId79" display="fdsup://factset/Doc Viewer Single?float_window=true&amp;positioning_strategy=center_on_screen&amp;_doc_docfn=U2FsdGVkX1+hW/IHzcPKsNLHKfibm230LpIhNHPlSLdeBpzxYDUuoxCqWmPOJrvAlCiq8dfSCqs8qYnEGjJy2/kewDpKDFQHjr1FeYD/Y5M=&amp;_app_id=central_doc_viewer&amp;center_on_screen=true&amp;width=950&amp;height=800&amp;_dd2=%26f%3Dsld%26c%3Dtrue%26os%3D70142%26oe%3D70147" xr:uid="{D7790458-339F-41D0-AB0E-F82E91559667}"/>
    <hyperlink ref="F25" r:id="rId80" display="fdsup://factset/Doc Viewer Single?float_window=true&amp;positioning_strategy=center_on_screen&amp;_doc_docfn=U2FsdGVkX1/uC3DFFTfsWKnJtY6h17N2XlRkuadIJ+Z4i4AqhJsmH51u/5ayCv3Bg9ASb8TemueG0mbnv6KshTtJaoR6weDjW/xZK2wOA90=&amp;_app_id=central_doc_viewer&amp;center_on_screen=true&amp;width=950&amp;height=800&amp;_dd2=%26f%3Dsld%26c%3Dtrue%26os%3D140833%26oe%3D140838" xr:uid="{6624B6F3-5CA5-4FEA-BC96-68D76C634A19}"/>
    <hyperlink ref="G25" r:id="rId81" display="fdsup://factset/Doc Viewer Single?float_window=true&amp;positioning_strategy=center_on_screen&amp;_doc_docfn=U2FsdGVkX1+cMn8mYF+6VOcgWBf+ZP+GtZUErUoohIR2JRzQ+zWTMJWTfDbDirkMSoV4KY7VpRsKByBRxC4Ehyd0tej5/WHJm6OfmwNLNls=&amp;_app_id=central_doc_viewer&amp;center_on_screen=true&amp;width=950&amp;height=800&amp;_dd2=%26f%3Dsld%26c%3Dtrue%26os%3D205976%26oe%3D205981" xr:uid="{F2988B07-28C3-4276-99AB-2479F0C95284}"/>
    <hyperlink ref="H25" r:id="rId82" display="fdsup://factset/Doc Viewer Single?float_window=true&amp;positioning_strategy=center_on_screen&amp;_doc_docfn=U2FsdGVkX1+X5cglGZjGxt63nNM0092UqObhaGnk6HdDccoOUQWHVsoGFkX7BUgpwxNAlCJa/KVgRHq5xrAQBDd0Qi6SZM+gaqqYglKIo88=&amp;_app_id=central_doc_viewer&amp;center_on_screen=true&amp;width=950&amp;height=800&amp;_dd2=%26f%3Dsld%26c%3Dtrue%26os%3D141340%26oe%3D141346" xr:uid="{E325EBB5-891C-4610-AC6C-E1D3F93F8043}"/>
    <hyperlink ref="I25" r:id="rId83" display="fdsup://factset/Doc Viewer Single?float_window=true&amp;positioning_strategy=center_on_screen&amp;_doc_docfn=U2FsdGVkX18apZ0mg9JW5XIpoVD6v61Hd9TIe4XmOOMw/7K1hlCp+CRqCsTgfYxIej3mnDn+vNJlGnIHILmH7MlTDyP35yPtA0/JPZXOGfw=&amp;_app_id=central_doc_viewer&amp;center_on_screen=true&amp;width=950&amp;height=800&amp;_dd2=%26f%3Dsld%26c%3Dtrue%26os%3D140158%26oe%3D140165" xr:uid="{D924EF12-5CD8-4715-8470-563D0B90C254}"/>
    <hyperlink ref="J25" r:id="rId84" display="fdsup://factset/Doc Viewer Single?float_window=true&amp;positioning_strategy=center_on_screen&amp;_doc_docfn=U2FsdGVkX18CJb60cjuDqnfUPdksBMAB/FgmutJ5cOMQKaCt0gVuNbk1w8DsGOtLR/PndPjgiPFzZ8DzLzx/A23AcMX4eHvat+NTioqG+9s=&amp;_app_id=central_doc_viewer&amp;center_on_screen=true&amp;width=950&amp;height=800&amp;_dd2=%26f%3Dsld%26c%3Dtrue%26os%3D138791%26oe%3D138796" xr:uid="{64BFB8C8-C352-4B95-A399-E8C251323FA6}"/>
    <hyperlink ref="K25" r:id="rId85" display="fdsup://factset/Doc Viewer Single?float_window=true&amp;positioning_strategy=center_on_screen&amp;_doc_docfn=U2FsdGVkX19DFvwoIiGj3WLEb0xcy9/ioRWI2ZaoHoQChBCfRS5/d0tkL6g1if4dnCammlpw7VFA2Ox2UmRk/q7tM49ccshHWTZH3CrGPro=&amp;_app_id=central_doc_viewer&amp;center_on_screen=true&amp;width=950&amp;height=800&amp;_dd2=%26f%3Dsld%26c%3Dtrue%26os%3D135959%26oe%3D135964" xr:uid="{9DBA5507-9B78-417F-84CC-788700232DF9}"/>
    <hyperlink ref="B26" r:id="rId86" display="fdsup://factset/Doc Viewer Single?float_window=true&amp;positioning_strategy=center_on_screen&amp;_doc_docfn=U2FsdGVkX18cL6nxGDDFIWRtocG0p8j3gK0Lfp5Oj/rCQ/cLwvaExQB6kHPQfRhYOxTJuctTLsc7OF6q1co0j5qyMXQwn9L2o3/0PoFm7aA=&amp;_app_id=central_doc_viewer&amp;center_on_screen=true&amp;width=950&amp;height=800&amp;_dd2=%26f%3Dsld%26c%3Dtrue%26os%3D268264%26oe%3D268270" xr:uid="{6566EC36-5F07-48EC-914F-B1915CAB3BA6}"/>
    <hyperlink ref="C26" r:id="rId87" display="fdsup://factset/Doc Viewer Single?float_window=true&amp;positioning_strategy=center_on_screen&amp;_doc_docfn=U2FsdGVkX1+lxTKgHHr8wOL9om/kIkYfKQ9/dQ5t328EBKspqs20KVx3W8qW3ZITgKvyAvoo/3+nmCG6pU4fiYpx1lnZltWLbnN883hudIw=&amp;_app_id=central_doc_viewer&amp;center_on_screen=true&amp;width=950&amp;height=800&amp;_dd2=%26f%3Dsld%26c%3Dtrue%26os%3D71552%26oe%3D71558" xr:uid="{DC55FF1D-6F6A-4EDB-A717-D7C56C4D6355}"/>
    <hyperlink ref="D26" r:id="rId88" display="fdsup://factset/Doc Viewer Single?float_window=true&amp;positioning_strategy=center_on_screen&amp;_doc_docfn=U2FsdGVkX19VJZYl4zil4Gg9om30aYyo8A8va73FQrlrAnkz4rBJs6lKplPH6UvwtNM96Bz7Dx5BmMFtufqQHxt61q0KpFZKoFxjHDxB/Rk=&amp;_app_id=central_doc_viewer&amp;center_on_screen=true&amp;width=950&amp;height=800&amp;_dd2=%26f%3Dsld%26c%3Dtrue%26os%3D69462%26oe%3D69468" xr:uid="{EF64C3B9-426E-43E2-93A3-5FDBA574917F}"/>
    <hyperlink ref="E26" r:id="rId89" display="fdsup://factset/Doc Viewer Single?float_window=true&amp;positioning_strategy=center_on_screen&amp;_doc_docfn=U2FsdGVkX1/L1znG07JHwpw/wo0bhqOfowjr/nBYvKKaMxdYBjZYj39KLK/80JEwJAp6cWBRB9GSIDc6RQMN3sfo2KUhgFuBuBI5OFMf6yU=&amp;_app_id=central_doc_viewer&amp;center_on_screen=true&amp;width=950&amp;height=800&amp;_dd2=%26f%3Dsld%26c%3Dtrue%26os%3D71002%26oe%3D71008" xr:uid="{C2828805-A782-451E-9661-E8072AF8F09B}"/>
    <hyperlink ref="F26" r:id="rId90" display="fdsup://factset/Doc Viewer Single?float_window=true&amp;positioning_strategy=center_on_screen&amp;_doc_docfn=U2FsdGVkX1/UvonJ2ftXCRUqIThEIpnO5Uif/bKZgdrm1GTIaPujPVuFrWh00gWBkIdGEb7QuaeB78vnj2wwbJLa33jZr5/K+CZqJ7Sbxz8=&amp;_app_id=central_doc_viewer&amp;center_on_screen=true&amp;width=950&amp;height=800&amp;_dd2=%26f%3Dsld%26c%3Dtrue%26os%3D141640%26oe%3D141646" xr:uid="{E0548AB6-2ADE-4035-9789-E6D567603AFB}"/>
    <hyperlink ref="G26" r:id="rId91" display="fdsup://factset/Doc Viewer Single?float_window=true&amp;positioning_strategy=center_on_screen&amp;_doc_docfn=U2FsdGVkX19CBEbVy5cK84yBsg6tX3i5e1muhzxTw8YT7y/+9m+ALpJPLQlUxiJ3eAG9dF9iBM5dJy3wKoft0m2KCvc2VmVrTECoMLSwfnc=&amp;_app_id=central_doc_viewer&amp;center_on_screen=true&amp;width=950&amp;height=800&amp;_dd2=%26f%3Dsld%26c%3Dtrue%26os%3D206783%26oe%3D206789" xr:uid="{5BF74A32-F496-4D38-A1E2-A0CC19F28AAF}"/>
    <hyperlink ref="H26" r:id="rId92" display="fdsup://factset/Doc Viewer Single?float_window=true&amp;positioning_strategy=center_on_screen&amp;_doc_docfn=U2FsdGVkX18pCM431ow/OY1sBYqvdeo0rWqaGIZemKJQW+xAjSiPll0rxfJI8GbmKnICMuLM0TzLnXUghu3MSgczHZb8zgx82ummUyhhLcA=&amp;_app_id=central_doc_viewer&amp;center_on_screen=true&amp;width=950&amp;height=800&amp;_dd2=%26f%3Dsld%26c%3Dtrue%26os%3D142111%26oe%3D142117" xr:uid="{2F0325C3-520B-40F0-B472-64A0D609EBFA}"/>
    <hyperlink ref="I26" r:id="rId93" display="fdsup://factset/Doc Viewer Single?float_window=true&amp;positioning_strategy=center_on_screen&amp;_doc_docfn=U2FsdGVkX1/IdBGpYhwXlFb+gxyQZpNhH4BTe5W+ysH2ZzftoDJbzIpKvO2wTIKCR1u0xhy5LYVbk2orp3z3jfbs8USMkhKKF8RwHE1oFKg=&amp;_app_id=central_doc_viewer&amp;center_on_screen=true&amp;width=950&amp;height=800&amp;_dd2=%26f%3Dsld%26c%3Dtrue%26os%3D140932%26oe%3D140938" xr:uid="{9E2A4021-B1AA-4DB8-9A2A-F021864270C0}"/>
    <hyperlink ref="J26" r:id="rId94" display="fdsup://factset/Doc Viewer Single?float_window=true&amp;positioning_strategy=center_on_screen&amp;_doc_docfn=U2FsdGVkX18IZhDnaOAIcrHwpUCb6YHiK2n4byyGONlbxcngW6dpRpvIffU7K/KKiJ+QYZjrXikdhXU2S+VcIh45MhCbWqc1ZdGaqbptZDw=&amp;_app_id=central_doc_viewer&amp;center_on_screen=true&amp;width=950&amp;height=800&amp;_dd2=%26f%3Dsld%26c%3Dtrue%26os%3D139565%26oe%3D139571" xr:uid="{A3570317-4A4B-45F3-8D55-8F6D052CA61C}"/>
    <hyperlink ref="K26" r:id="rId95" display="fdsup://factset/Doc Viewer Single?float_window=true&amp;positioning_strategy=center_on_screen&amp;_doc_docfn=U2FsdGVkX19pJ6kVOvVMBA4ZPBL8ewKgdww2HVYBkXLly2mAIpEM5t50RlHAMVt8/aR9sNRRxFET9mZLRQAXPjsUz0kgdGiruon05zN7zBg=&amp;_app_id=central_doc_viewer&amp;center_on_screen=true&amp;width=950&amp;height=800&amp;_dd2=%26f%3Dsld%26c%3Dtrue%26os%3D136753%26oe%3D136760" xr:uid="{A9DC57D1-BD25-4698-9DA8-B913E76646A1}"/>
    <hyperlink ref="B27" r:id="rId96" display="fdsup://factset/Doc Viewer Single?float_window=true&amp;positioning_strategy=center_on_screen&amp;_doc_docfn=U2FsdGVkX19TVA60TNTU5PSEEzeqBukkxyu802CddUJxwGpW0DxOWM7Kh7Sz4b72Cyn++3Pytb4GCqr0xjY/4zPTKFdGoosEVhK1UScjzAs=&amp;_app_id=central_doc_viewer&amp;center_on_screen=true&amp;width=950&amp;height=800&amp;_dd2=%26f%3Dsld%26c%3Dtrue%26os%3D270934%26oe%3D270939" xr:uid="{4DF5BDA0-1975-4A0A-BC90-9FBDF3E6B9B1}"/>
    <hyperlink ref="C27" r:id="rId97" display="fdsup://factset/Doc Viewer Single?float_window=true&amp;positioning_strategy=center_on_screen&amp;_doc_docfn=U2FsdGVkX1+QJsAXlFetMUGdxgX/i77jhzEADT8M2qFLcVoEgEhUZqN+5ttuiW39dAFv7FoWJa4BL4ecBgK1aW6LrGfdgxOMZRMieOv+B+U=&amp;_app_id=central_doc_viewer&amp;center_on_screen=true&amp;width=950&amp;height=800&amp;_dd2=%26f%3Dsld%26c%3Dtrue%26os%3D72498%26oe%3D72503" xr:uid="{805E90AC-A21F-4543-BB4A-2959D305713D}"/>
    <hyperlink ref="D27" r:id="rId98" display="fdsup://factset/Doc Viewer Single?float_window=true&amp;positioning_strategy=center_on_screen&amp;_doc_docfn=U2FsdGVkX19TVWwPAYeiwBTCP1PdU7ORRGSHloVuaYzO3f/SjKUTQ+Mi+QgIyLrBdeSOmvc9jVcDkaaB6KYWdxCzcAmeqsl0dvmQGrP9k1w=&amp;_app_id=central_doc_viewer&amp;center_on_screen=true&amp;width=950&amp;height=800&amp;_dd2=%26f%3Dsld%26c%3Dtrue%26os%3D70409%26oe%3D70415" xr:uid="{C85D0C9D-D0F0-42B7-9DE5-BC1F1A9976B1}"/>
    <hyperlink ref="E27" r:id="rId99" display="fdsup://factset/Doc Viewer Single?float_window=true&amp;positioning_strategy=center_on_screen&amp;_doc_docfn=U2FsdGVkX1/6wo10wGZ95jAddEShzOMNY4qTQajGi+u8ii7np1z2GocjZbKUT4Cb1BRN8JPXDwPkNBRDShgXcNdhA/ii5GSVNTHCQjP0aOo=&amp;_app_id=central_doc_viewer&amp;center_on_screen=true&amp;width=950&amp;height=800&amp;_dd2=%26f%3Dsld%26c%3Dtrue%26os%3D71948%26oe%3D71953" xr:uid="{7038B0B7-7C78-4406-BD3E-CD0BB80E9A00}"/>
    <hyperlink ref="F27" r:id="rId100" display="fdsup://factset/Doc Viewer Single?float_window=true&amp;positioning_strategy=center_on_screen&amp;_doc_docfn=U2FsdGVkX19GtN0YrteBM9fOLYJ9sq1LOjMGglSsqFWeXnkYtRvpVNNYOssHKoBNRV4GSsplrIUiI3Q4XnL4SoAM3xLI4fH+0ZRHOu4i6+M=&amp;_app_id=central_doc_viewer&amp;center_on_screen=true&amp;width=950&amp;height=800&amp;_dd2=%26f%3Dsld%26c%3Dtrue%26os%3D142530%26oe%3D142535" xr:uid="{E9183C4A-9E32-4345-A9AD-45AEEF392789}"/>
    <hyperlink ref="G27" r:id="rId101" display="fdsup://factset/Doc Viewer Single?float_window=true&amp;positioning_strategy=center_on_screen&amp;_doc_docfn=U2FsdGVkX19kHk3YcVTZzoJyzIpGx/CtWj0emvDNaBlcrYh8+wIcNy5LBxnfN+ri9SNu9QOJ1WMCQla2r56BrK6VPrP3jgFdfcBU5eBR9C4=&amp;_app_id=central_doc_viewer&amp;center_on_screen=true&amp;width=950&amp;height=800&amp;_dd2=%26f%3Dsld%26c%3Dtrue%26os%3D207673%26oe%3D207678" xr:uid="{FD84D01F-B530-4BF8-A71F-4B789525EB2F}"/>
    <hyperlink ref="H27" r:id="rId102" display="fdsup://factset/Doc Viewer Single?float_window=true&amp;positioning_strategy=center_on_screen&amp;_doc_docfn=U2FsdGVkX18LgCueaDG8r1Kv6spJJFwkhL60moxXUCG5Z54LGp9H8Dt5M89p2hzJcQJfan4tkHGFdFDXW6bbpNtCkHqRX5aaeL6WsVDFqwk=&amp;_app_id=central_doc_viewer&amp;center_on_screen=true&amp;width=950&amp;height=800&amp;_dd2=%26f%3Dsld%26c%3Dtrue%26os%3D142970%26oe%3D142976" xr:uid="{A5359D0B-20D3-4FA3-9551-091078720B4D}"/>
    <hyperlink ref="I27" r:id="rId103" display="fdsup://factset/Doc Viewer Single?float_window=true&amp;positioning_strategy=center_on_screen&amp;_doc_docfn=U2FsdGVkX1/hIHir47cYnNOlvAQOY32dl91VIzy2Oey842FL/sOZAZkwCvsF5f+9Tv0iuui4wUIviQT2M09wRAHlceYfXlnAozwb6PK270Q=&amp;_app_id=central_doc_viewer&amp;center_on_screen=true&amp;width=950&amp;height=800&amp;_dd2=%26f%3Dsld%26c%3Dtrue%26os%3D141791%26oe%3D141797" xr:uid="{41851387-222A-4356-AFA1-47EDCD8B428D}"/>
    <hyperlink ref="J27" r:id="rId104" display="fdsup://factset/Doc Viewer Single?float_window=true&amp;positioning_strategy=center_on_screen&amp;_doc_docfn=U2FsdGVkX1/ceiMhiLr58p+L1DZI8tBf0HhkXL63otO3HuQpkOdoOVoiWUrGkDSz0LDzqJ6Krp1uoZ07DcSt0S4jC3ihAiG0s5Wc4MLtQE4=&amp;_app_id=central_doc_viewer&amp;center_on_screen=true&amp;width=950&amp;height=800&amp;_dd2=%26f%3Dsld%26c%3Dtrue%26os%3D140424%26oe%3D140430" xr:uid="{B63C9A5C-41F3-4239-899B-FCD812E2B6C5}"/>
    <hyperlink ref="K27" r:id="rId105" display="fdsup://factset/Doc Viewer Single?float_window=true&amp;positioning_strategy=center_on_screen&amp;_doc_docfn=U2FsdGVkX18crBIWqe4PJg+HGrZ9xwsXvUningk4EVcvgyJvjwEFa3JO0m3RQqphEsghBteF0ZbLrt5v9uqeUJDeFo1BpocRahGF9STWDmM=&amp;_app_id=central_doc_viewer&amp;center_on_screen=true&amp;width=950&amp;height=800&amp;_dd2=%26f%3Dsld%26c%3Dtrue%26os%3D137613%26oe%3D137619" xr:uid="{D43BE5FF-6C96-4D0C-8590-B2D10AB97FD6}"/>
    <hyperlink ref="B28" r:id="rId106" display="fdsup://factset/Doc Viewer Single?float_window=true&amp;positioning_strategy=center_on_screen&amp;_doc_docfn=U2FsdGVkX1/RmUQkrmlx+DjwUXfA3Vc4hNuslS2Pk4A5yrBDV6MUZnEC/aQTo0k5ozR/akBHNpRZl8VVP1KF1PU9orMmOB/qxz2oS7x39Yw=&amp;_app_id=central_doc_viewer&amp;center_on_screen=true&amp;width=950&amp;height=800&amp;_dd2=%26f%3Dsld%26c%3Dtrue%26os%3D273543%26oe%3D273549" xr:uid="{28D0396A-CAFD-45E4-AAE5-EB6BEC34C6E1}"/>
    <hyperlink ref="C28" r:id="rId107" display="fdsup://factset/Doc Viewer Single?float_window=true&amp;positioning_strategy=center_on_screen&amp;_doc_docfn=U2FsdGVkX19Fa8kGjxu0mXUuE8Oeuu4Fpvo9YB+R3bpeybco5kqOlyOI1QvoftAjz/N7xFhgH4hVhFHSNSjq8aLMseU0tm4lG2Z+Ix+tfxY=&amp;_app_id=central_doc_viewer&amp;center_on_screen=true&amp;width=950&amp;height=800&amp;_dd2=%26f%3Dsld%26c%3Dtrue%26os%3D73295%26oe%3D73301" xr:uid="{A9A82D2D-3AA1-4574-8911-1EAD3358E071}"/>
    <hyperlink ref="B29" r:id="rId108" display="fdsup://factset/Doc Viewer Single?float_window=true&amp;positioning_strategy=center_on_screen&amp;_doc_docfn=U2FsdGVkX19lmCnAyjzvPYSiERV5dcvAzRO3SwBUI57M6/eei1kHDZhy6B+dGo3iDC9PZEMlXiD5+0qV7xlTgZ60HIyTQ/jSSv44HD3rtHk=&amp;_app_id=central_doc_viewer&amp;center_on_screen=true&amp;width=950&amp;height=800&amp;_dd2=%26f%3Dsld%26c%3Dtrue%26os%3D276238%26oe%3D276239" xr:uid="{ED703670-3D53-4372-A2E7-B52524727CD5}"/>
    <hyperlink ref="C29" r:id="rId109" display="fdsup://factset/Doc Viewer Single?float_window=true&amp;positioning_strategy=center_on_screen&amp;_doc_docfn=U2FsdGVkX1+wCnbHdHhv+MimH/4Jizf5H7cEfUd11LqOzpcV150ITbIcWLoilW89t2FDgczJjiEG00GM2+9R9QddtgCccflFeuD+X4QHSV0=&amp;_app_id=central_doc_viewer&amp;center_on_screen=true&amp;width=950&amp;height=800&amp;_dd2=%26f%3Dsld%26c%3Dtrue%26os%3D74120%26oe%3D74121" xr:uid="{6D414016-30CE-4F21-A253-83C535857B2D}"/>
    <hyperlink ref="B30" r:id="rId110" display="fdsup://factset/Doc Viewer Single?float_window=true&amp;positioning_strategy=center_on_screen&amp;_doc_docfn=U2FsdGVkX1+GtYti6QfKi2BKreqPNoZHsmx93+WxSIc8DBQjufz69IgC0pTVK5bgCjrlgKnRt7IX7a5KZS48qnDsd5xoMDnq+nSXFsm78ig=&amp;_app_id=central_doc_viewer&amp;center_on_screen=true&amp;width=950&amp;height=800&amp;_dd2=%26f%3Dsld%26c%3Dtrue%26os%3D279967%26oe%3D279973" xr:uid="{7F2D6BCE-2191-4BEF-AF7C-D30C52565BAF}"/>
    <hyperlink ref="C30" r:id="rId111" display="fdsup://factset/Doc Viewer Single?float_window=true&amp;positioning_strategy=center_on_screen&amp;_doc_docfn=U2FsdGVkX1/7y6xN889R46HQglfCIOsPV0Aolw8kgkl3agjHPl01jMWIPMjDc1vEHeg3QNcSs+cSJtNvdZqSyp8/gJBPVC8p7DjZxGTLMpQ=&amp;_app_id=central_doc_viewer&amp;center_on_screen=true&amp;width=950&amp;height=800&amp;_dd2=%26f%3Dsld%26c%3Dtrue%26os%3D74891%26oe%3D74897" xr:uid="{A8968E92-65EB-457C-84E2-F2814ACA91D0}"/>
    <hyperlink ref="D30" r:id="rId112" display="fdsup://factset/Doc Viewer Single?float_window=true&amp;positioning_strategy=center_on_screen&amp;_doc_docfn=U2FsdGVkX19fpxSU9T/419Y5xC99ineWxbD3n1dm/xB7iTQE98KVa76nZ7uLL5Bbrb9l/tTQ1L+M5XIMyN0OZ8t9ur+8eFdGsQlzjb7b9pQ=&amp;_app_id=central_doc_viewer&amp;center_on_screen=true&amp;width=950&amp;height=800&amp;_dd2=%26f%3Dsld%26c%3Dtrue%26os%3D71159%26oe%3D71165" xr:uid="{6E2EEC62-0256-4BA9-9BE7-8AED22324BC0}"/>
    <hyperlink ref="E30" r:id="rId113" display="fdsup://factset/Doc Viewer Single?float_window=true&amp;positioning_strategy=center_on_screen&amp;_doc_docfn=U2FsdGVkX19+JaIhhUWG+CwryzvfHyMPoX1Enyfp00EXIfFNuE3bpwMvsfYY/v3xr3Ms/jTxY2EFUIwEetkck+dl6nofJJjQi0PJorCT5Jk=&amp;_app_id=central_doc_viewer&amp;center_on_screen=true&amp;width=950&amp;height=800&amp;_dd2=%26f%3Dsld%26c%3Dtrue%26os%3D72701%26oe%3D72707" xr:uid="{816FFD77-5545-45FE-973A-30C9EF490139}"/>
    <hyperlink ref="F30" r:id="rId114" display="fdsup://factset/Doc Viewer Single?float_window=true&amp;positioning_strategy=center_on_screen&amp;_doc_docfn=U2FsdGVkX18oXySTft1Ixl8bDyp/uJJ6XF4RBQyfptUe1AdPTUWGUkMc9x3nhQgGoR52t3cabmtwsuDMWREC1nmKhOFqR2ihkhT3w1JTkd0=&amp;_app_id=central_doc_viewer&amp;center_on_screen=true&amp;width=950&amp;height=800&amp;_dd2=%26f%3Dsld%26c%3Dtrue%26os%3D143227%26oe%3D143233" xr:uid="{B6155209-96D5-4F22-B3A9-8473BFCA338B}"/>
    <hyperlink ref="G30" r:id="rId115" display="fdsup://factset/Doc Viewer Single?float_window=true&amp;positioning_strategy=center_on_screen&amp;_doc_docfn=U2FsdGVkX19BPSafOp57f7bc2wfGkSFm+xKzQ+uDx/n6KR8OtmST6V1/ot+rTNjkfPpFJKRnxM0l1oLq/aNYPzJSh2rBis0ELWTrJGrBI9s=&amp;_app_id=central_doc_viewer&amp;center_on_screen=true&amp;width=950&amp;height=800&amp;_dd2=%26f%3Dsld%26c%3Dtrue%26os%3D208368%26oe%3D208376" xr:uid="{52FC0F2F-F65E-4E88-BD4C-791A08A63D64}"/>
    <hyperlink ref="H30" r:id="rId116" display="fdsup://factset/Doc Viewer Single?float_window=true&amp;positioning_strategy=center_on_screen&amp;_doc_docfn=U2FsdGVkX1+vXzW8c27XrHK/F9T7Nixq4YBfb8DX/FoDlCN5a5NtsPg3xFAgaGG+LgM+I1Ke+WWnz407e9IPNcRdup8RAhpN7FeTUjtdSt8=&amp;_app_id=central_doc_viewer&amp;center_on_screen=true&amp;width=950&amp;height=800&amp;_dd2=%26f%3Dsld%26c%3Dtrue%26os%3D143666%26oe%3D143674" xr:uid="{FE535ED0-AA4E-49EA-A5A1-98ECD3D040FF}"/>
    <hyperlink ref="I30" r:id="rId117" display="fdsup://factset/Doc Viewer Single?float_window=true&amp;positioning_strategy=center_on_screen&amp;_doc_docfn=U2FsdGVkX1+1rKkIsy3Z82txoKmsICVwQ7K2Vejhr2hJQStsYAkuKb/6fopOmLseg3Si/1qhgRac8Z/YnZt6t9il2DWaRlrW4U4llMXXhAs=&amp;_app_id=central_doc_viewer&amp;center_on_screen=true&amp;width=950&amp;height=800&amp;_dd2=%26f%3Dsld%26c%3Dtrue%26os%3D142489%26oe%3D142495" xr:uid="{2493D6D7-668C-42EB-B52A-8757448618A5}"/>
    <hyperlink ref="J30" r:id="rId118" display="fdsup://factset/Doc Viewer Single?float_window=true&amp;positioning_strategy=center_on_screen&amp;_doc_docfn=U2FsdGVkX18SBqFd2fNsv/UZcoelNZrOaLT2pSnKgNl8yj52kWBr/3Q55phfw0niEh7B2uzkNz5GgC5gUWA//Ts6gLr8MdsFJwP2lFtuYJA=&amp;_app_id=central_doc_viewer&amp;center_on_screen=true&amp;width=950&amp;height=800&amp;_dd2=%26f%3Dsld%26c%3Dtrue%26os%3D141124%26oe%3D141132" xr:uid="{976C0DFC-CA61-45A4-9825-01E418290EA5}"/>
    <hyperlink ref="K30" r:id="rId119" display="fdsup://factset/Doc Viewer Single?float_window=true&amp;positioning_strategy=center_on_screen&amp;_doc_docfn=U2FsdGVkX18VJY/6FPumVCyrJ6f3afTNkwdQ5meQorP6E8zH1QGUU31iYge7uxwndR7sAm/5Qpv7YSaX8qBIlf9QGXmUjcVTJEK3VABVElI=&amp;_app_id=central_doc_viewer&amp;center_on_screen=true&amp;width=950&amp;height=800&amp;_dd2=%26f%3Dsld%26c%3Dtrue%26os%3D138314%26oe%3D138321" xr:uid="{739E65DE-DC2F-46A7-9D8C-B60BB7E80EE7}"/>
    <hyperlink ref="B31" r:id="rId120" display="fdsup://factset/Doc Viewer Single?float_window=true&amp;positioning_strategy=center_on_screen&amp;_doc_docfn=U2FsdGVkX1/PDMLSEWlQpstRJqB/l7HKFVTDsFXuMkUFZrGdXk4AXwFijxIX65PxfzXvp9KWzIUvdaya6S2BCZh+VZdolbUvIDQtDi214sw=&amp;_app_id=central_doc_viewer&amp;center_on_screen=true&amp;width=950&amp;height=800&amp;_dd2=%26f%3Dsld%26c%3Dtrue%26os%3D282798%26oe%3D282801" xr:uid="{D5294224-E76A-4389-BAA3-AE9110BCAA3C}"/>
    <hyperlink ref="C31" r:id="rId121" display="fdsup://factset/Doc Viewer Single?float_window=true&amp;positioning_strategy=center_on_screen&amp;_doc_docfn=U2FsdGVkX18jA8marSvqfx7Pb7au+2CFWMcmkInRvU23ZY7EHEZooZkSiZQIdJiPM/GveEYLLFeTpTHAqEMOO4e2FXQa177etTY9fgD+w9c=&amp;_app_id=central_doc_viewer&amp;center_on_screen=true&amp;width=950&amp;height=800&amp;_dd2=%26f%3Dsld%26c%3Dtrue%26os%3D75689%26oe%3D75690" xr:uid="{93D2897D-DAEF-4C5D-BEFD-B6FDE2D4C789}"/>
    <hyperlink ref="D31" r:id="rId122" display="fdsup://factset/Doc Viewer Single?float_window=true&amp;positioning_strategy=center_on_screen&amp;_doc_docfn=U2FsdGVkX19EpWf7IJSJWP0+4rk6ya2n9hvbQRa/GEfW+zSKcR0FIb8FxVxkt026+vE2K8JhWtXh/jh9UMTIRNtLRe7LoEWjcIytTPUL8PM=&amp;_app_id=central_doc_viewer&amp;center_on_screen=true&amp;width=950&amp;height=800&amp;_dd2=%26f%3Dsld%26c%3Dtrue%26os%3D71957%26oe%3D71958" xr:uid="{8C8FCD62-771B-434E-BDEC-356A857C52CA}"/>
    <hyperlink ref="B32" r:id="rId123" display="fdsup://factset/Doc Viewer Single?float_window=true&amp;positioning_strategy=center_on_screen&amp;_doc_docfn=U2FsdGVkX18fhbOKZQv3AaMM66o3nafe+I9gljAPsgf6UIZ+YlSEtJ9B8HjmXU2q7fUANZaMOmBotaGcAcdY+m8wcrQ/A9G7FziE23B9nDw=&amp;_app_id=central_doc_viewer&amp;center_on_screen=true&amp;width=950&amp;height=800&amp;_dd2=%26f%3Dsld%26c%3Dtrue%26os%3D286605%26oe%3D286611" xr:uid="{397713C4-5468-459B-BC6D-87E7A5510128}"/>
    <hyperlink ref="C32" r:id="rId124" display="fdsup://factset/Doc Viewer Single?float_window=true&amp;positioning_strategy=center_on_screen&amp;_doc_docfn=U2FsdGVkX1/pNk4PD91sLmpanU1vji9fIJWvRG/bQ2ZvEwEgyePliSKLpiNzQ8vKEcW5RLptE7g7sHfdCAGkdAG50zIqqv6IoD/jvoXq7/E=&amp;_app_id=central_doc_viewer&amp;center_on_screen=true&amp;width=950&amp;height=800&amp;_dd2=%26f%3Dsld%26c%3Dtrue%26os%3D76520%26oe%3D76526" xr:uid="{A0AD0645-F2D8-4A61-AD2B-8C1627D23132}"/>
    <hyperlink ref="D32" r:id="rId125" display="fdsup://factset/Doc Viewer Single?float_window=true&amp;positioning_strategy=center_on_screen&amp;_doc_docfn=U2FsdGVkX19e9t3YMkLBKTp9sRWfY2ghbwOX6W6p+xTyeiloYE6F3nZCJL7PRdwipyTg18lywyVxja3XgMm/Ov1MVxXDfY3SYlA+y1DSDgo=&amp;_app_id=central_doc_viewer&amp;center_on_screen=true&amp;width=950&amp;height=800&amp;_dd2=%26f%3Dsld%26c%3Dtrue%26os%3D72788%26oe%3D72794" xr:uid="{5AD7EC71-0BFF-42DA-91AC-5C4374733E02}"/>
    <hyperlink ref="E32" r:id="rId126" display="fdsup://factset/Doc Viewer Single?float_window=true&amp;positioning_strategy=center_on_screen&amp;_doc_docfn=U2FsdGVkX1+vTEG9j4nn4viWcPqvw7sEQUctgVvBQGai6OdDgF6yEHQU/ULqlAoanlW/bN+Sv7BE+oxL0A3c5DdQswYk6IiqPQmYopt7iAk=&amp;_app_id=central_doc_viewer&amp;center_on_screen=true&amp;width=950&amp;height=800&amp;_dd2=%26f%3Dsld%26c%3Dtrue%26os%3D72701%26oe%3D72707" xr:uid="{554D7EA5-8A53-43EB-9BC1-525B76DE911B}"/>
    <hyperlink ref="F32" r:id="rId127" display="fdsup://factset/Doc Viewer Single?float_window=true&amp;positioning_strategy=center_on_screen&amp;_doc_docfn=U2FsdGVkX1+laRmKjHh0FzODb0RTe34oYXpx6CnBhhxuojOQe+QbzhQX1IEtuB1asxZrdBFNaGMflPK6ejrGgx6XtUmUBBPfhz96HZRuHwU=&amp;_app_id=central_doc_viewer&amp;center_on_screen=true&amp;width=950&amp;height=800&amp;_dd2=%26f%3Dsld%26c%3Dtrue%26os%3D143227%26oe%3D143233" xr:uid="{937FD325-FBEF-47A7-8FF3-52621E7FFAE1}"/>
    <hyperlink ref="G32" r:id="rId128" display="fdsup://factset/Doc Viewer Single?float_window=true&amp;positioning_strategy=center_on_screen&amp;_doc_docfn=U2FsdGVkX1/bE0hL8aQiE16BcoEJEZHok3hha5hMBPy/0AqCOX0p8nAHaJyIWPl6YU6pwhSthoLHtlG1eBpchazaGv19/timz8engySJiMM=&amp;_app_id=central_doc_viewer&amp;center_on_screen=true&amp;width=950&amp;height=800&amp;_dd2=%26f%3Dsld%26c%3Dtrue%26os%3D208368%26oe%3D208376" xr:uid="{4B00876C-BF3F-4A60-B535-6CC97BFD7C6E}"/>
    <hyperlink ref="H32" r:id="rId129" display="fdsup://factset/Doc Viewer Single?float_window=true&amp;positioning_strategy=center_on_screen&amp;_doc_docfn=U2FsdGVkX185xyd8l8pIB2Ev+P61MRzTkt/7kysSpZnoU8qlJdC9w19HbnnpKala+B4QwzKLYrz74S4J/BzjhQgE9E9hWIWLr849CydG3Xg=&amp;_app_id=central_doc_viewer&amp;center_on_screen=true&amp;width=950&amp;height=800&amp;_dd2=%26f%3Dsld%26c%3Dtrue%26os%3D143666%26oe%3D143674" xr:uid="{97C71478-784D-4490-97DB-E8F7BE47CBA0}"/>
    <hyperlink ref="I32" r:id="rId130" display="fdsup://factset/Doc Viewer Single?float_window=true&amp;positioning_strategy=center_on_screen&amp;_doc_docfn=U2FsdGVkX19lVmFZY1MUCHqlVJncoCx0CL0im7WQz2tE0sGfo8/5U9w8EZAz0nVmtZnseIPvI/FCB5vc6PlCkLYZuqd9cSLi/KpIHFwYe1o=&amp;_app_id=central_doc_viewer&amp;center_on_screen=true&amp;width=950&amp;height=800&amp;_dd2=%26f%3Dsld%26c%3Dtrue%26os%3D142489%26oe%3D142495" xr:uid="{C6F7BFDE-68A1-44C0-AA7A-ACE8656E10C1}"/>
    <hyperlink ref="J32" r:id="rId131" display="fdsup://factset/Doc Viewer Single?float_window=true&amp;positioning_strategy=center_on_screen&amp;_doc_docfn=U2FsdGVkX18oa05/ztPKny5Fs6WL0CLyWHoFBNtZxVhLXCg5Lme7uqhZZ2fqVcZP86RyqlgDKPmx5hQNdfCOjwArgIMVE+l1mmewISLThPo=&amp;_app_id=central_doc_viewer&amp;center_on_screen=true&amp;width=950&amp;height=800&amp;_dd2=%26f%3Dsld%26c%3Dtrue%26os%3D141124%26oe%3D141132" xr:uid="{F916B668-3B9D-4BBC-85D6-9E03ADF03B0B}"/>
    <hyperlink ref="K32" r:id="rId132" display="fdsup://factset/Doc Viewer Single?float_window=true&amp;positioning_strategy=center_on_screen&amp;_doc_docfn=U2FsdGVkX1/U4+o3RCIRvSNPlQzswousB6jz0LB/b3rUo1wiZl1J50qOXdMekRj8FS19scBJC6urNs05Dov4MBN2SRFlwpmPN+8OnMppYFc=&amp;_app_id=central_doc_viewer&amp;center_on_screen=true&amp;width=950&amp;height=800&amp;_dd2=%26f%3Dsld%26c%3Dtrue%26os%3D138314%26oe%3D138321" xr:uid="{795C0F69-7911-4D63-B887-B8DB8795A08B}"/>
    <hyperlink ref="E35" r:id="rId133" display="fdsup://factset/Doc Viewer Single?float_window=true&amp;positioning_strategy=center_on_screen&amp;_doc_docfn=U2FsdGVkX1/oa7UBu6yY/KwR9cWa0kYNz0ErdyWxZHGBRLVoEgPnHUAGUzu6ay9tAiE5oAzsfOqjTvcNdJ9mrRN9zmik5lTGG1DJ1eWDsy8=&amp;_app_id=central_doc_viewer&amp;center_on_screen=true&amp;width=950&amp;height=800&amp;_dd2=%26f%3Dsld%26c%3Dtrue%26os%3D73547%26oe%3D73552" xr:uid="{FDCA66A9-1DF3-4ABF-915B-1F904B542ABC}"/>
    <hyperlink ref="F35" r:id="rId134" display="fdsup://factset/Doc Viewer Single?float_window=true&amp;positioning_strategy=center_on_screen&amp;_doc_docfn=U2FsdGVkX183N2OJAJvb/FPTB1iDseEPbbnsVACFb/MpvQMJGdyPiINwFrzm/huuqyyM5jUksjpJBcURgfvr3FXLsS25xQEpS0+MjBeJ8P4=&amp;_app_id=central_doc_viewer&amp;center_on_screen=true&amp;width=950&amp;height=800&amp;_dd2=%26f%3Dsld%26c%3Dtrue%26os%3D144015%26oe%3D144020" xr:uid="{C257902E-2145-473C-BCF5-18DE4FA66EFB}"/>
    <hyperlink ref="G35" r:id="rId135" display="fdsup://factset/Doc Viewer Single?float_window=true&amp;positioning_strategy=center_on_screen&amp;_doc_docfn=U2FsdGVkX188VafywCX2qDU8hETj9NFcuzgnmw62ZqVUp3KAsnD+XIJdIIpwoQkhJ5RRP5oaFJ3O96SjzzglGBmmam8tzFEvtqsbsNU8bQc=&amp;_app_id=central_doc_viewer&amp;center_on_screen=true&amp;width=950&amp;height=800&amp;_dd2=%26f%3Dsld%26c%3Dtrue%26os%3D209156%26oe%3D209163" xr:uid="{614DC1D6-56D7-433A-8FB4-1D0252F161C0}"/>
    <hyperlink ref="H35" r:id="rId136" display="fdsup://factset/Doc Viewer Single?float_window=true&amp;positioning_strategy=center_on_screen&amp;_doc_docfn=U2FsdGVkX19wgxkj+SQ2UsWYpqIggjdpCzYrH5LmqQ3ZChCud833oB8cWkqG5gH7Ly3nOcJxCmLGPdeq8j/JRCOsU7FOV26VejB9TB/y5CI=&amp;_app_id=central_doc_viewer&amp;center_on_screen=true&amp;width=950&amp;height=800&amp;_dd2=%26f%3Dsld%26c%3Dtrue%26os%3D144455%26oe%3D144463" xr:uid="{3FACDB19-241A-46B9-99D8-2BB2A03A349A}"/>
    <hyperlink ref="I35" r:id="rId137" display="fdsup://factset/Doc Viewer Single?float_window=true&amp;positioning_strategy=center_on_screen&amp;_doc_docfn=U2FsdGVkX185pygGAxBRe6gbQvJz30pry8JdbmB+Z1oFXrGlJTqXy7AdWaRwRmLGpeYfUdBUoDsOKVBQ6Ef9LltPNvfQt6jfk/XO1Uo7ceY=&amp;_app_id=central_doc_viewer&amp;center_on_screen=true&amp;width=950&amp;height=800&amp;_dd2=%26f%3Dsld%26c%3Dtrue%26os%3D143259%26oe%3D143263" xr:uid="{4B77E569-8A1F-4013-8BCF-F6032C608CBF}"/>
    <hyperlink ref="J35" r:id="rId138" display="fdsup://factset/Doc Viewer Single?float_window=true&amp;positioning_strategy=center_on_screen&amp;_doc_docfn=U2FsdGVkX1+lLCrFl50g+TERrVDtc3h9NsjRgGcmvRlY6bdhj4qTx1UpB4vWZzWSNbpHZfIWecj6nn25758ovPrTf4RN2LLTFXIEyExYzUg=&amp;_app_id=central_doc_viewer&amp;center_on_screen=true&amp;width=950&amp;height=800&amp;_dd2=%26f%3Dsld%26c%3Dtrue%26os%3D141894%26oe%3D141900" xr:uid="{A4E6CF82-B474-4E2B-A453-4C8EC3ED0926}"/>
    <hyperlink ref="K35" r:id="rId139" display="fdsup://factset/Doc Viewer Single?float_window=true&amp;positioning_strategy=center_on_screen&amp;_doc_docfn=U2FsdGVkX19VywfQ+MsCAxWrzNS/wTQl73QXCYQvgsoze1hbHBby/4fvpMLx7kRunN/LrNIfX87aTZKLxCxQr+tHmT34sAmE8vPXz+47Sbw=&amp;_app_id=central_doc_viewer&amp;center_on_screen=true&amp;width=950&amp;height=800&amp;_dd2=%26f%3Dsld%26c%3Dtrue%26os%3D139046%26oe%3D139050" xr:uid="{A023FBB4-DF97-416C-AAD6-BE1AE23AF480}"/>
    <hyperlink ref="E38" r:id="rId140" display="fdsup://factset/Doc Viewer Single?float_window=true&amp;positioning_strategy=center_on_screen&amp;_doc_docfn=U2FsdGVkX18RiinMG19bARte0EbQfRiey3JOFnMSbof59Whe1FX7soHE88XwdaiBcR0zpm2W1eHPNiTVbGsbASBjRJYXiEO68Y6LIKiuJD4=&amp;_app_id=central_doc_viewer&amp;center_on_screen=true&amp;width=950&amp;height=800&amp;_dd2=%26f%3Dsld%26c%3Dtrue%26os%3D74424%26oe%3D74429" xr:uid="{02D272FE-23FD-4ABD-B9D8-AC41D51C0039}"/>
    <hyperlink ref="F38" r:id="rId141" display="fdsup://factset/Doc Viewer Single?float_window=true&amp;positioning_strategy=center_on_screen&amp;_doc_docfn=U2FsdGVkX1+r2b4BwLtZ2ee0ZwQEC+NzRa2bp0yDKSCfFGVeRIsRawVGrThKFsw0sf0XPf3vVxn76qr3b6+CIgKIwkrSH1NL4w2onnN6g60=&amp;_app_id=central_doc_viewer&amp;center_on_screen=true&amp;width=950&amp;height=800&amp;_dd2=%26f%3Dsld%26c%3Dtrue%26os%3D144830%26oe%3D144835" xr:uid="{13127E3B-9838-4CC8-9265-36DEE8A0FDBD}"/>
    <hyperlink ref="G38" r:id="rId142" display="fdsup://factset/Doc Viewer Single?float_window=true&amp;positioning_strategy=center_on_screen&amp;_doc_docfn=U2FsdGVkX1+tCfbc4HRO4EWZHPu71GOMeXArUuV7oPS6htiZ8XTd35xjcqOBFlETUt2ECTvWuZ7w47YFlLW8V5Q01DviorFoA+Z/7NdLPaU=&amp;_app_id=central_doc_viewer&amp;center_on_screen=true&amp;width=950&amp;height=800&amp;_dd2=%26f%3Dsld%26c%3Dtrue%26os%3D209971%26oe%3D209978" xr:uid="{702B6288-B611-44EA-AE3C-DD40643A14E1}"/>
    <hyperlink ref="H38" r:id="rId143" display="fdsup://factset/Doc Viewer Single?float_window=true&amp;positioning_strategy=center_on_screen&amp;_doc_docfn=U2FsdGVkX1/CjY3JQklITYIJt8qwQ0kFo8hzf5v0gp6h2d0tvO5vKfp2Hgn6R53+kFlHl3Qz7d/uFh4kWC1Oq0ZDj5WMj6D0+y2sA084mwg=&amp;_app_id=central_doc_viewer&amp;center_on_screen=true&amp;width=950&amp;height=800&amp;_dd2=%26f%3Dsld%26c%3Dtrue%26os%3D145272%26oe%3D145280" xr:uid="{97F4D12F-F226-47B6-8BDA-80C8827A1098}"/>
    <hyperlink ref="I38" r:id="rId144" display="fdsup://factset/Doc Viewer Single?float_window=true&amp;positioning_strategy=center_on_screen&amp;_doc_docfn=U2FsdGVkX18CoOevTPSCrzXXQEgxYz9jKcZyix8IIPIYLzwefCCG6GTXtu9X1m4Vuf7ykNZFP5z071xWsKI0bYaqI/f62W8DDVVCgqikW/k=&amp;_app_id=central_doc_viewer&amp;center_on_screen=true&amp;width=950&amp;height=800&amp;_dd2=%26f%3Dsld%26c%3Dtrue%26os%3D144045%26oe%3D144049" xr:uid="{114B2D88-884A-4D31-9F33-1DEDADC26A21}"/>
    <hyperlink ref="J38" r:id="rId145" display="fdsup://factset/Doc Viewer Single?float_window=true&amp;positioning_strategy=center_on_screen&amp;_doc_docfn=U2FsdGVkX189UdvtOigUL9h5HZF+xOsn1DAzrKrCRayz6g1Bj4IuZvHGqCy862DzhMVLeJpow8JdaSimZ8+FLMaUU8SMGLsaTFdvLRmDqhg=&amp;_app_id=central_doc_viewer&amp;center_on_screen=true&amp;width=950&amp;height=800&amp;_dd2=%26f%3Dsld%26c%3Dtrue%26os%3D142680%26oe%3D142686" xr:uid="{E796C0E6-6118-4497-A2F8-8D599684E1CD}"/>
    <hyperlink ref="K38" r:id="rId146" display="fdsup://factset/Doc Viewer Single?float_window=true&amp;positioning_strategy=center_on_screen&amp;_doc_docfn=U2FsdGVkX18ssds4tF4pK3ykkSzgSHv8rZjkcgbOEQRDYBmXZxAGXUtr/GMTRua6RpYUREbOESVCWfCeYD9PqD+6u4/P4frxi1IOJgFRSrc=&amp;_app_id=central_doc_viewer&amp;center_on_screen=true&amp;width=950&amp;height=800&amp;_dd2=%26f%3Dsld%26c%3Dtrue%26os%3D139793%26oe%3D139797" xr:uid="{19A13830-EBC3-45F8-ADA5-5AB4947FEEB0}"/>
    <hyperlink ref="E55" r:id="rId147" display="fdsup://factset/Doc Viewer Single?float_window=true&amp;positioning_strategy=center_on_screen&amp;_doc_docfn=U2FsdGVkX19jpIDv0PHuJI2AM4DQw/he6lICUYBhUKY1iDpWUGRJkr5/WDByjao9a0IZ29FEG+4/4eUs9LnokUbt+wVaojeqLLFry3eVv3g=&amp;_app_id=central_doc_viewer&amp;center_on_screen=true&amp;width=950&amp;height=800&amp;_dd2=%26f%3Dsld%26c%3Dtrue%26os%3D3313336%26oe%3D3313343" xr:uid="{C8F2E129-0D90-41D0-9477-0248DC8F6A5C}"/>
    <hyperlink ref="F55" r:id="rId148" display="fdsup://factset/Doc Viewer Single?float_window=true&amp;positioning_strategy=center_on_screen&amp;_doc_docfn=U2FsdGVkX1+e+su9MSrFAuNLeb35Af3ORFQbnM14f69KpUbCSLwfSKzFKMW36ttIjHZqbzB6NMYAqbL9sCi46MC80JdbYttmGRGPN6A/YzM=&amp;_app_id=central_doc_viewer&amp;center_on_screen=true&amp;width=950&amp;height=800&amp;_dd2=%26f%3Dsld%26c%3Dtrue%26os%3D3633948%26oe%3D3633955" xr:uid="{9D03AEDB-1950-49EB-84A6-FC741026136D}"/>
    <hyperlink ref="G55" r:id="rId149" display="fdsup://factset/Doc Viewer Single?float_window=true&amp;positioning_strategy=center_on_screen&amp;_doc_docfn=U2FsdGVkX19V/SMwH9RmldAz1qVutPy1OZ8e/1VymYMyl6GsGW8kEy0t/qV5PLORtJ+Nj7VyvPXm35gLTHR8NvD+cGhh0L83GKFspy+jyfA=&amp;_app_id=central_doc_viewer&amp;center_on_screen=true&amp;width=950&amp;height=800&amp;_dd2=%26f%3Dsld%26c%3Dtrue%26os%3D1208302%26oe%3D1208309" xr:uid="{F1D5D99F-2F0D-4327-8797-9DB03E58ADF3}"/>
    <hyperlink ref="H55" r:id="rId150" display="fdsup://factset/Doc Viewer Single?float_window=true&amp;positioning_strategy=center_on_screen&amp;_doc_docfn=U2FsdGVkX1+9wDRWtg37PXQaHE81GOqdfg+CgJm9JmuObtFKPqE3RqeE8RTmIzKXHDmbwiDQXbVzGZ8cA5iCNxrikLvWd5/8dmKGEOD4aW8=&amp;_app_id=central_doc_viewer&amp;center_on_screen=true&amp;width=950&amp;height=800&amp;_dd2=%26f%3Dsld%26c%3Dtrue%26os%3D2773719%26oe%3D2773726" xr:uid="{6694E7A3-7DDC-4CF8-AEDB-9BE14387D909}"/>
    <hyperlink ref="I55" r:id="rId151" display="fdsup://factset/Doc Viewer Single?float_window=true&amp;positioning_strategy=center_on_screen&amp;_doc_docfn=U2FsdGVkX18BQimeYyr24xSJDSEuic+A8MN9EIYEqB1aR+aQ7WyoafwLn7goPXDwFHnO3SNnyPGi8PTuT/1wGghzvBIVSdCFCMoWWYCReJU=&amp;_app_id=central_doc_viewer&amp;center_on_screen=true&amp;width=950&amp;height=800&amp;_dd2=%26f%3Dsld%26c%3Dtrue%26os%3D2869285%26oe%3D2869294" xr:uid="{54E20902-5325-4118-AC89-ED20574CC274}"/>
    <hyperlink ref="J55" r:id="rId152" display="fdsup://factset/Doc Viewer Single?float_window=true&amp;positioning_strategy=center_on_screen&amp;_doc_docfn=U2FsdGVkX1+d5LBF46h86VsCYxDYylqdBUjVA9VrsnvtoH35W6QRS/oo7QgqFnbeUwKxJix3nP7OqU+bMztzITBsmnqyu4oYv5wQ522Ev3g=&amp;_app_id=central_doc_viewer&amp;center_on_screen=true&amp;width=950&amp;height=800&amp;_dd2=%26f%3Dsld%26c%3Dtrue%26os%3D1022634%26oe%3D1022639" xr:uid="{6A70F984-3190-483A-AAC1-691FC6A2C5F7}"/>
    <hyperlink ref="K55" r:id="rId153" display="fdsup://factset/Doc Viewer Single?float_window=true&amp;positioning_strategy=center_on_screen&amp;_doc_docfn=U2FsdGVkX193f9IYHD4EMgTBG+VcyJj1HrlqD1s3vtjHpeqwaOq45XbiAOZS/K5rjt4bWytmC0W2RKtyucbkvBEZdDlFEQUonESl+kHWYZc=&amp;_app_id=central_doc_viewer&amp;center_on_screen=true&amp;width=950&amp;height=800&amp;_dd2=%26f%3Dsld%26c%3Dtrue%26os%3D3132511%26oe%3D3132516" xr:uid="{84BF0664-7CFF-40DC-88AE-79B1FAAA444E}"/>
    <hyperlink ref="E56" r:id="rId154" display="fdsup://factset/Doc Viewer Single?float_window=true&amp;positioning_strategy=center_on_screen&amp;_doc_docfn=U2FsdGVkX18EO10VeL/MIO1yS/uqGxIP+anxLRZTFHYmVP7AfQCoBfrTsvQtREoKPB1xqvJO28XLma5VrFk20/i+2KULaiGD7ktgJfvW1c4=&amp;_app_id=central_doc_viewer&amp;center_on_screen=true&amp;width=950&amp;height=800&amp;_dd2=%26f%3Dsld%26c%3Dtrue%26os%3D3317047%26oe%3D3317054" xr:uid="{08C16B47-35C0-4D15-8D43-02E4E50E001E}"/>
    <hyperlink ref="F56" r:id="rId155" display="fdsup://factset/Doc Viewer Single?float_window=true&amp;positioning_strategy=center_on_screen&amp;_doc_docfn=U2FsdGVkX184AMZ+TH0Wfyf8q91eh1u/078GhpBqeZtJqQULx7hREda557CJ7FsqEuFgyRiL0YnAmAC3LKE5sDXyXCb3YloKHH1vnBi1M5c=&amp;_app_id=central_doc_viewer&amp;center_on_screen=true&amp;width=950&amp;height=800&amp;_dd2=%26f%3Dsld%26c%3Dtrue%26os%3D3636889%26oe%3D3636896" xr:uid="{25D37AC3-1D70-4CC7-A6CD-65BE449860A8}"/>
    <hyperlink ref="G56" r:id="rId156" display="fdsup://factset/Doc Viewer Single?float_window=true&amp;positioning_strategy=center_on_screen&amp;_doc_docfn=U2FsdGVkX1+jyh/wSjgX/uhVl6mn1WVTzSrMWo4KhiW6P3KQLYVMUk0InO8iOxj/eLapaF6hRHD7Dgoq6R+wgDmwimqRXJh/Ro1VwN6vZcs=&amp;_app_id=central_doc_viewer&amp;center_on_screen=true&amp;width=950&amp;height=800&amp;_dd2=%26f%3Dsld%26c%3Dtrue%26os%3D1213984%26oe%3D1213991" xr:uid="{E06FA288-EDA8-4381-A13E-571D63D9D5E6}"/>
    <hyperlink ref="H56" r:id="rId157" display="fdsup://factset/Doc Viewer Single?float_window=true&amp;positioning_strategy=center_on_screen&amp;_doc_docfn=U2FsdGVkX18q8RZsp7IiKO1NTTPCQRiPxGCSNQrs3gueqSS2G98eqlC963dwdvM5m/hIX9A/pJs3Hdw9OqJroHtP4N9FMHGGv+O4RL0e9IQ=&amp;_app_id=central_doc_viewer&amp;center_on_screen=true&amp;width=950&amp;height=800&amp;_dd2=%26f%3Dsld%26c%3Dtrue%26os%3D2782164%26oe%3D2782171" xr:uid="{A949714A-0908-445F-8760-2C9B0B2FB637}"/>
    <hyperlink ref="I56" r:id="rId158" display="fdsup://factset/Doc Viewer Single?float_window=true&amp;positioning_strategy=center_on_screen&amp;_doc_docfn=U2FsdGVkX19EZo2+/RbpAfzoOtcBv5AXBLJcILZ4c3vIVt5Ss/ly78jYAkifKVHhvF3VRR033KigQ2NknYPBZRHzOhBzLX7DIRQVdXUMcm8=&amp;_app_id=central_doc_viewer&amp;center_on_screen=true&amp;width=950&amp;height=800&amp;_dd2=%26f%3Dsld%26c%3Dtrue%26os%3D2877743%26oe%3D2877752" xr:uid="{176051F7-44C4-492D-A43E-5EED3BB8DE71}"/>
    <hyperlink ref="J56" r:id="rId159" display="fdsup://factset/Doc Viewer Single?float_window=true&amp;positioning_strategy=center_on_screen&amp;_doc_docfn=U2FsdGVkX1+rbJetWiEbBymxAOWN8Jw41ayHzhlWgTWkZATW+fz4N80TI/ft5RvuJPMoiOCCTN7uomBieNZGA0jGkhFNN4McNg4DA4ntni8=&amp;_app_id=central_doc_viewer&amp;center_on_screen=true&amp;width=950&amp;height=800&amp;_dd2=%26f%3Dsld%26c%3Dtrue%26os%3D1044073%26oe%3D1044078" xr:uid="{3880676D-CD13-489F-93F9-3BCFB1E9217C}"/>
    <hyperlink ref="K56" r:id="rId160" display="fdsup://factset/Doc Viewer Single?float_window=true&amp;positioning_strategy=center_on_screen&amp;_doc_docfn=U2FsdGVkX193m59Y6qCip9/aCxFe9NsPL6UoxKZV20YN8pT/iNzcjGxGZoweFlGhK023e+9GqPsnuE1tz92F9JfcDKoey8BrXp4PvOGSyVI=&amp;_app_id=central_doc_viewer&amp;center_on_screen=true&amp;width=950&amp;height=800&amp;_dd2=%26f%3Dsld%26c%3Dtrue%26os%3D3140018%26oe%3D3140023" xr:uid="{49EEFA24-4EA0-454A-930D-E94C72F595FD}"/>
    <hyperlink ref="E58" r:id="rId161" display="fdsup://factset/Doc Viewer Single?float_window=true&amp;positioning_strategy=center_on_screen&amp;_doc_docfn=U2FsdGVkX1+10l8hT9SZ3JwsA0G4QYUIBRP0aoUNxqx5vJWg+W60WQgx7YbtSChzziUilex7Csmv8bfgipneZEH+qHN8AEZDmpFV/N49RzI=&amp;_app_id=central_doc_viewer&amp;center_on_screen=true&amp;width=950&amp;height=800&amp;_dd2=%26f%3Dsld%26c%3Dtrue%26os%3D3329141%26oe%3D3329147" xr:uid="{AA440290-9A85-4DFB-8697-6828DC98923B}"/>
    <hyperlink ref="F58" r:id="rId162" display="fdsup://factset/Doc Viewer Single?float_window=true&amp;positioning_strategy=center_on_screen&amp;_doc_docfn=U2FsdGVkX182WA5PEoFnrvWijCOwigVTdgzs/rqWius0KK7GmoJTHEXCCinA5bDOa90Q0n+a/8a3j7X13DNfgyvk+bznwWLhRZUTAs3Wf4Y=&amp;_app_id=central_doc_viewer&amp;center_on_screen=true&amp;width=950&amp;height=800&amp;_dd2=%26f%3Dsld%26c%3Dtrue%26os%3D3645646%26oe%3D3645652" xr:uid="{E34158AA-FE77-4045-83AF-5789016B031B}"/>
    <hyperlink ref="G58" r:id="rId163" display="fdsup://factset/Doc Viewer Single?float_window=true&amp;positioning_strategy=center_on_screen&amp;_doc_docfn=U2FsdGVkX1+yU8Tl8GXX6FuPJe9Ozw5FsKBndyVUAF/r9Yz+XGh7zTuNdIZ0oP5bz8JtzMPtmpjzHUKcAJUEw39wXD3dpGHDbClT0wN0pJM=&amp;_app_id=central_doc_viewer&amp;center_on_screen=true&amp;width=950&amp;height=800&amp;_dd2=%26f%3Dsld%26c%3Dtrue%26os%3D1208701%26oe%3D1208707" xr:uid="{A8FF40D6-977A-4023-8398-1501C2327DC1}"/>
    <hyperlink ref="H58" r:id="rId164" display="fdsup://factset/Doc Viewer Single?float_window=true&amp;positioning_strategy=center_on_screen&amp;_doc_docfn=U2FsdGVkX1+mb+C8qeJE2IIqknm1vfEIxDuCJOSMzjGdgj2Z+ZX6Y5AyxaTDh4LdmgMmw3o7MYU9PvShmBjX9SJwWk54pqbyRnsHSLjrd3c=&amp;_app_id=central_doc_viewer&amp;center_on_screen=true&amp;width=950&amp;height=800&amp;_dd2=%26f%3Dsld%26c%3Dtrue%26os%3D2785486%26oe%3D2785492" xr:uid="{3F03D41D-93E4-4685-B135-B2E9F89EF35F}"/>
    <hyperlink ref="I58" r:id="rId165" display="fdsup://factset/Doc Viewer Single?float_window=true&amp;positioning_strategy=center_on_screen&amp;_doc_docfn=U2FsdGVkX183XpsXx+uLyNhOiVJIZHQxctsUjmtO1nDKQr4Xfca5pv5XmB1z7lq9K//b/7VsTyPBSOMZqraUdC8GiyT7NySYIG6a8pMhdAk=&amp;_app_id=central_doc_viewer&amp;center_on_screen=true&amp;width=950&amp;height=800&amp;_dd2=%26f%3Dsld%26c%3Dtrue%26os%3D2881070%26oe%3D2881077" xr:uid="{32041B52-8232-400F-A5D7-A35F87BA35BA}"/>
    <hyperlink ref="J58" r:id="rId166" display="fdsup://factset/Doc Viewer Single?float_window=true&amp;positioning_strategy=center_on_screen&amp;_doc_docfn=U2FsdGVkX1+LmakZQI6JO5P4qwgv7xrSGQOLIedVGkMVeGA9P6f0ea28S35TsFf5CKv+EMhXLModCQI7JawieXwhPCg+xSUeZrkZztnXU0s=&amp;_app_id=central_doc_viewer&amp;center_on_screen=true&amp;width=950&amp;height=800&amp;_dd2=%26f%3Dsld%26c%3Dtrue%26os%3D1023039%26oe%3D1023042" xr:uid="{6317DE15-F92F-4171-B97E-D5321A8AB94B}"/>
    <hyperlink ref="K58" r:id="rId167" display="fdsup://factset/Doc Viewer Single?float_window=true&amp;positioning_strategy=center_on_screen&amp;_doc_docfn=U2FsdGVkX1/H0xIK6vBZy0FqqnsmGK+Y3EzWeu4sANbR5LqRph7Ihm0MpWBQ++nAvrqgpOqp+5zGbynZX6zmLk3BTbFgqA65EIAFdqBkU3o=&amp;_app_id=central_doc_viewer&amp;center_on_screen=true&amp;width=950&amp;height=800&amp;_dd2=%26f%3Dsld%26c%3Dtrue%26os%3D3146378%26oe%3D3146381" xr:uid="{92DDC5BC-EAAB-4FB7-9BC6-36ED3161ECF7}"/>
    <hyperlink ref="E59" r:id="rId168" display="fdsup://factset/Doc Viewer Single?float_window=true&amp;positioning_strategy=center_on_screen&amp;_doc_docfn=U2FsdGVkX19iXoTd4WyoQwmHDQuzHHbGVebLIBqmaMWjamaU6jhoBiHXSD+5jck9awFjY5hA2iP40SfZO4vE5xY6S+T3TPirPPJ0BH5C9GA=&amp;_app_id=central_doc_viewer&amp;center_on_screen=true&amp;width=950&amp;height=800&amp;_dd2=%26f%3Dsld%26c%3Dtrue%26os%3D3332783%26oe%3D3332789" xr:uid="{32E945C2-1D18-47E8-9A0B-162501CDD151}"/>
    <hyperlink ref="F59" r:id="rId169" display="fdsup://factset/Doc Viewer Single?float_window=true&amp;positioning_strategy=center_on_screen&amp;_doc_docfn=U2FsdGVkX18S/kZK/4NH95UCbRKvAOeh17dm0kkzlBrCz4/Cji0rzLhdnlzxZs5wYuUx5mr+VitSiLlUs2ZBPawOpm9frMnVCOqKbiNNziE=&amp;_app_id=central_doc_viewer&amp;center_on_screen=true&amp;width=950&amp;height=800&amp;_dd2=%26f%3Dsld%26c%3Dtrue%26os%3D3648521%26oe%3D3648527" xr:uid="{2478334E-D05C-4DC4-AE8C-2CEE60E51D6F}"/>
    <hyperlink ref="G59" r:id="rId170" display="fdsup://factset/Doc Viewer Single?float_window=true&amp;positioning_strategy=center_on_screen&amp;_doc_docfn=U2FsdGVkX1/xgBgnvwMNC30NdRCFad+Csu1aQ3erNgFoDPBfWkAnBh7dldmM9LGsXOv05NbvSp/UjWBlc6HqizCPujv2s4drmEOCscOZJFw=&amp;_app_id=central_doc_viewer&amp;center_on_screen=true&amp;width=950&amp;height=800&amp;_dd2=%26f%3Dsld%26c%3Dtrue%26os%3D1214441%26oe%3D1214447" xr:uid="{E5F1A16D-0E6E-48D2-A5CF-AC10A68EFFC3}"/>
    <hyperlink ref="H59" r:id="rId171" display="fdsup://factset/Doc Viewer Single?float_window=true&amp;positioning_strategy=center_on_screen&amp;_doc_docfn=U2FsdGVkX19Oq8xXwX4qUiuNVvGsU1SRZeWhNUVWnJSID2V3cKosRMlEFojX8F/94MBxLKKROGXiSWGgPsmKqEchPuEel4sBqnOWvcIuLxE=&amp;_app_id=central_doc_viewer&amp;center_on_screen=true&amp;width=950&amp;height=800&amp;_dd2=%26f%3Dsld%26c%3Dtrue%26os%3D2793809%26oe%3D2793815" xr:uid="{C2E13A4B-70B0-41E7-BC54-6817945A0AD4}"/>
    <hyperlink ref="I59" r:id="rId172" display="fdsup://factset/Doc Viewer Single?float_window=true&amp;positioning_strategy=center_on_screen&amp;_doc_docfn=U2FsdGVkX1/pKAbZ10VSSn7JCywY1NMzhz1GSIppAKPPFO3p0ARhttgY7rwtWK//KgQNN5y41FvZsx/zLfFieobRR3mLfShedAVD1UnZwQg=&amp;_app_id=central_doc_viewer&amp;center_on_screen=true&amp;width=950&amp;height=800&amp;_dd2=%26f%3Dsld%26c%3Dtrue%26os%3D2889401%26oe%3D2889408" xr:uid="{DCCF9088-3CAE-4C62-9D53-064D6263E961}"/>
    <hyperlink ref="J59" r:id="rId173" display="fdsup://factset/Doc Viewer Single?float_window=true&amp;positioning_strategy=center_on_screen&amp;_doc_docfn=U2FsdGVkX18ERypGTWgTAOU64I2opQ+LOz2A9ld+hr7DoC5XGKfTQIeK92FeIyWJq6pp4eWGyYHUODhDl9A8c4RvhjNH+QTzUsq8rfKs1WQ=&amp;_app_id=central_doc_viewer&amp;center_on_screen=true&amp;width=950&amp;height=800&amp;_dd2=%26f%3Dsld%26c%3Dtrue%26os%3D1044536%26oe%3D1044539" xr:uid="{4B1857D6-3815-4AEC-9DD2-010A4913368E}"/>
    <hyperlink ref="K59" r:id="rId174" display="fdsup://factset/Doc Viewer Single?float_window=true&amp;positioning_strategy=center_on_screen&amp;_doc_docfn=U2FsdGVkX1+p0otX3REii9gG6VBNoVjlSzvzxjN4v3OFR7dgMBAXPN6WuJiZGmghrgEHIyyYMSo1qnfmTuM6UHhdftiBabdJGKHHWbo3Gas=&amp;_app_id=central_doc_viewer&amp;center_on_screen=true&amp;width=950&amp;height=800&amp;_dd2=%26f%3Dsld%26c%3Dtrue%26os%3D3153780%26oe%3D3153783" xr:uid="{1F7593B0-2A43-4EB9-B85A-BB53600B8C09}"/>
    <hyperlink ref="E61" r:id="rId175" display="fdsup://factset/Doc Viewer Single?float_window=true&amp;positioning_strategy=center_on_screen&amp;_doc_docfn=U2FsdGVkX1+M/RDo/QY9JRQWuga0KSJUL6acYYnG+YqaHj51bZkkcYwU66Qp/sLKpHOLv/FqH+D1BA3UaNWL/Yf2JbeZnLuGmD7Pe8wcQs4=&amp;_app_id=central_doc_viewer&amp;center_on_screen=true&amp;width=950&amp;height=800&amp;_dd2=%26f%3Dsld%26c%3Dtrue%26os%3D3344844%26oe%3D3344851" xr:uid="{58970E79-F151-4DD9-BE59-F1147B2A7813}"/>
    <hyperlink ref="F61" r:id="rId176" display="fdsup://factset/Doc Viewer Single?float_window=true&amp;positioning_strategy=center_on_screen&amp;_doc_docfn=U2FsdGVkX1+l57FxjrWnbojcrnCVUtxd5lGy/m8SUFdoIdHM8fjAVA9n01wcdIAQh6dIeOGWAxX3SAsP6SpRE09Ld9gxKUe6DoNO+QybVN8=&amp;_app_id=central_doc_viewer&amp;center_on_screen=true&amp;width=950&amp;height=800&amp;_dd2=%26f%3Dsld%26c%3Dtrue%26os%3D3657300%26oe%3D3657307" xr:uid="{ED53FAE6-685B-4593-96AF-3A7AC37FC393}"/>
    <hyperlink ref="G61" r:id="rId177" display="fdsup://factset/Doc Viewer Single?float_window=true&amp;positioning_strategy=center_on_screen&amp;_doc_docfn=U2FsdGVkX18JlrXt+BIV8STDDTjNH2W3i5YbZYrFsE+3ZTlSso8YCFbK5/rbq50uTDz7OPcYOSR9hdcj+gJrdf9RjKNwfwlh1xgRxwzddTE=&amp;_app_id=central_doc_viewer&amp;center_on_screen=true&amp;width=950&amp;height=800&amp;_dd2=%26f%3Dsld%26c%3Dtrue%26os%3D1209099%26oe%3D1209106" xr:uid="{94F25A39-7B4C-403B-BD88-48E6670751F9}"/>
    <hyperlink ref="H61" r:id="rId178" display="fdsup://factset/Doc Viewer Single?float_window=true&amp;positioning_strategy=center_on_screen&amp;_doc_docfn=U2FsdGVkX188vQB6ZHO/X7fdYsZ9yTKDPOKgDMkz6hQtX+0krjEJ/KPjiGGp0XYd9jMAKWUya898XH4SnlHAGtYFc93K64hZO5UhvLxHvVM=&amp;_app_id=central_doc_viewer&amp;center_on_screen=true&amp;width=950&amp;height=800&amp;_dd2=%26f%3Dsld%26c%3Dtrue%26os%3D2797134%26oe%3D2797141" xr:uid="{F279AFB3-AFF3-4151-BE89-AC9E30B55A75}"/>
    <hyperlink ref="I61" r:id="rId179" display="fdsup://factset/Doc Viewer Single?float_window=true&amp;positioning_strategy=center_on_screen&amp;_doc_docfn=U2FsdGVkX19htAEhJOAW+IcSpVHiJBCNzcxneF6+QbPd0EwOXMHJ7LoJzU3Bg2KEQuZzoo5PJmCmcET9fhAeXpnsnVdyxjHllBvpw+A18Qc=&amp;_app_id=central_doc_viewer&amp;center_on_screen=true&amp;width=950&amp;height=800&amp;_dd2=%26f%3Dsld%26c%3Dtrue%26os%3D2892728%26oe%3D2892737" xr:uid="{4192E6BB-D5D7-4F01-BC0C-2E0CFDD89B78}"/>
    <hyperlink ref="J61" r:id="rId180" display="fdsup://factset/Doc Viewer Single?float_window=true&amp;positioning_strategy=center_on_screen&amp;_doc_docfn=U2FsdGVkX19ECrljz9pkZtFnc506FkvFc/biPUibo2/w73LX9WozgsKO8XvAKPKTCXiINfL6VhHLSNLYtlWV8I1d3HPpA3ToTHRZ39AKeFA=&amp;_app_id=central_doc_viewer&amp;center_on_screen=true&amp;width=950&amp;height=800&amp;_dd2=%26f%3Dsld%26c%3Dtrue%26os%3D1023442%26oe%3D1023447" xr:uid="{4E5F6E9C-336A-4EB5-8077-2C818E34FCD3}"/>
    <hyperlink ref="K61" r:id="rId181" display="fdsup://factset/Doc Viewer Single?float_window=true&amp;positioning_strategy=center_on_screen&amp;_doc_docfn=U2FsdGVkX1+xxFy37yu6Yz39vO0RmXxxlRKz3GV2YI1QChSiKBC45VQ6XQSQPjsbCd5KGJSJvj0cn/wRui5S0YbcS20amE8WO57n7bt3720=&amp;_app_id=central_doc_viewer&amp;center_on_screen=true&amp;width=950&amp;height=800&amp;_dd2=%26f%3Dsld%26c%3Dtrue%26os%3D3160148%26oe%3D3160153" xr:uid="{AA6145A1-595D-4CDB-BED1-245690738AEC}"/>
    <hyperlink ref="E62" r:id="rId182" display="fdsup://factset/Doc Viewer Single?float_window=true&amp;positioning_strategy=center_on_screen&amp;_doc_docfn=U2FsdGVkX19hEX+4yxgr29xbh/BCezwAJ7ZdFnnwrI0SflldnVbsPjePFrssFmG6txUQNtQz/sMnayeUTemTs4Zw/zNDleVRTK++g/e9PPs=&amp;_app_id=central_doc_viewer&amp;center_on_screen=true&amp;width=950&amp;height=800&amp;_dd2=%26f%3Dsld%26c%3Dtrue%26os%3D3348504%26oe%3D3348511" xr:uid="{929D198A-35A1-4E8C-BB6B-1ABA3A23F7D6}"/>
    <hyperlink ref="F62" r:id="rId183" display="fdsup://factset/Doc Viewer Single?float_window=true&amp;positioning_strategy=center_on_screen&amp;_doc_docfn=U2FsdGVkX1+sKx5gb38bT0cXdxgKkagu/A2FEL07SSw4kj4zT+jaRlEdUZNkZjOVAwaKmnItlvqoYFIbdLbFJz6i76yWDFu0AzGAzIzYL2w=&amp;_app_id=central_doc_viewer&amp;center_on_screen=true&amp;width=950&amp;height=800&amp;_dd2=%26f%3Dsld%26c%3Dtrue%26os%3D3660211%26oe%3D3660218" xr:uid="{DC492440-86E8-49BD-8DA0-A5DD2AD5FAD7}"/>
    <hyperlink ref="G62" r:id="rId184" display="fdsup://factset/Doc Viewer Single?float_window=true&amp;positioning_strategy=center_on_screen&amp;_doc_docfn=U2FsdGVkX180sVew1uUMaFS63X9aZ/T7HyO9jIPNQhalpAkYRvBoq9+TfZRApry+2A4YPs+m0YS9cHnV9BBCev1tYIMXLcb29D18s8/CNu4=&amp;_app_id=central_doc_viewer&amp;center_on_screen=true&amp;width=950&amp;height=800&amp;_dd2=%26f%3Dsld%26c%3Dtrue%26os%3D1214897%26oe%3D1214904" xr:uid="{0C2CDBFA-6249-45CD-8722-62C64F550E64}"/>
    <hyperlink ref="H62" r:id="rId185" display="fdsup://factset/Doc Viewer Single?float_window=true&amp;positioning_strategy=center_on_screen&amp;_doc_docfn=U2FsdGVkX180nXzoi5VR07QcAM8qONmGp2PACXyvNEy2+j1xrQAoyNQ8mPMDqoeD6t7ClXGk9S1PLrY7c0QNlrxkrWl7UlEIcDn3pcplcrs=&amp;_app_id=central_doc_viewer&amp;center_on_screen=true&amp;width=950&amp;height=800&amp;_dd2=%26f%3Dsld%26c%3Dtrue%26os%3D2805513%26oe%3D2805520" xr:uid="{4E54111F-DB1D-486A-9D9C-9C1877DDB88B}"/>
    <hyperlink ref="I62" r:id="rId186" display="fdsup://factset/Doc Viewer Single?float_window=true&amp;positioning_strategy=center_on_screen&amp;_doc_docfn=U2FsdGVkX1/0NEdUOzvyIwo2CV0ASrbn96RUl3ckyBUPOKo/f8QEqCmh7fvNR+L5JZKMa2YqvgUTF1Ar33ixURrYCYmxVcO83Iihw3W5s08=&amp;_app_id=central_doc_viewer&amp;center_on_screen=true&amp;width=950&amp;height=800&amp;_dd2=%26f%3Dsld%26c%3Dtrue%26os%3D2901129%26oe%3D2901138" xr:uid="{CD25FCC1-B938-421C-8125-083E90A8B84D}"/>
    <hyperlink ref="J62" r:id="rId187" display="fdsup://factset/Doc Viewer Single?float_window=true&amp;positioning_strategy=center_on_screen&amp;_doc_docfn=U2FsdGVkX1+YavLQGuw+39sz9lRWSx8wk6xfHIudy+G6BVnDWMKQKwNaJj7nzdrsbiwWC8qJWE4XSWWtgDMh9qdjnoV0F2bW5+FStDnuj+Q=&amp;_app_id=central_doc_viewer&amp;center_on_screen=true&amp;width=950&amp;height=800&amp;_dd2=%26f%3Dsld%26c%3Dtrue%26os%3D1044997%26oe%3D1045002" xr:uid="{722D85B3-09E8-489F-A9A4-9AF97098193E}"/>
    <hyperlink ref="K62" r:id="rId188" display="fdsup://factset/Doc Viewer Single?float_window=true&amp;positioning_strategy=center_on_screen&amp;_doc_docfn=U2FsdGVkX19fvfl8jtQVXQS4LrzNXZasivOkqhYGi4SWeQNtokih1onRplD0HDOGBnmJaALz4poEg8dR2006UHybcltWU8JtzdKOFQ0qUtQ=&amp;_app_id=central_doc_viewer&amp;center_on_screen=true&amp;width=950&amp;height=800&amp;_dd2=%26f%3Dsld%26c%3Dtrue%26os%3D3167580%26oe%3D3167585" xr:uid="{4B9F6224-A956-48CC-A606-41C4029FBA0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DB04-4E9D-4F7E-BEB6-9B9291A2993A}">
  <sheetPr>
    <outlinePr summaryBelow="0" summaryRight="0"/>
  </sheetPr>
  <dimension ref="A1:K83"/>
  <sheetViews>
    <sheetView topLeftCell="A27" workbookViewId="0">
      <selection activeCell="F27" sqref="F27"/>
    </sheetView>
  </sheetViews>
  <sheetFormatPr defaultColWidth="9.140625" defaultRowHeight="15" customHeight="1" outlineLevelRow="4" x14ac:dyDescent="0.2"/>
  <cols>
    <col min="1" max="1" width="115.42578125" style="20" customWidth="1"/>
    <col min="2" max="11" width="10.5703125" style="20" customWidth="1"/>
    <col min="12" max="16384" width="9.140625" style="20"/>
  </cols>
  <sheetData>
    <row r="1" spans="1:11" ht="15" customHeight="1" x14ac:dyDescent="0.2">
      <c r="A1" s="56" t="s">
        <v>101</v>
      </c>
    </row>
    <row r="2" spans="1:11" ht="15" customHeight="1" x14ac:dyDescent="0.2">
      <c r="A2" s="55" t="s">
        <v>100</v>
      </c>
    </row>
    <row r="3" spans="1:11" ht="15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5" spans="1:11" ht="15" customHeight="1" x14ac:dyDescent="0.2">
      <c r="A5" s="53" t="s">
        <v>99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ht="15" customHeight="1" x14ac:dyDescent="0.2">
      <c r="A6" s="53" t="s">
        <v>98</v>
      </c>
      <c r="B6" s="53"/>
      <c r="C6" s="53"/>
      <c r="D6" s="53"/>
      <c r="E6" s="53"/>
      <c r="F6" s="53"/>
      <c r="G6" s="53"/>
      <c r="H6" s="53"/>
      <c r="I6" s="53"/>
      <c r="J6" s="53"/>
      <c r="K6" s="53"/>
    </row>
    <row r="7" spans="1:11" ht="15" customHeight="1" x14ac:dyDescent="0.2">
      <c r="A7" s="53" t="s">
        <v>97</v>
      </c>
      <c r="B7" s="53"/>
      <c r="C7" s="53"/>
      <c r="D7" s="53"/>
      <c r="E7" s="53"/>
      <c r="F7" s="53"/>
      <c r="G7" s="53"/>
      <c r="H7" s="53"/>
      <c r="I7" s="53"/>
      <c r="J7" s="53"/>
      <c r="K7" s="53"/>
    </row>
    <row r="8" spans="1:11" ht="15" customHeight="1" x14ac:dyDescent="0.2">
      <c r="A8" s="53"/>
      <c r="B8" s="53" t="s">
        <v>96</v>
      </c>
      <c r="C8" s="53" t="s">
        <v>95</v>
      </c>
      <c r="D8" s="53" t="s">
        <v>94</v>
      </c>
      <c r="E8" s="53" t="s">
        <v>93</v>
      </c>
      <c r="F8" s="53" t="s">
        <v>92</v>
      </c>
      <c r="G8" s="53" t="s">
        <v>91</v>
      </c>
      <c r="H8" s="53" t="s">
        <v>90</v>
      </c>
      <c r="I8" s="53" t="s">
        <v>89</v>
      </c>
      <c r="J8" s="53" t="s">
        <v>88</v>
      </c>
      <c r="K8" s="53" t="s">
        <v>87</v>
      </c>
    </row>
    <row r="9" spans="1:11" ht="15" customHeight="1" x14ac:dyDescent="0.2">
      <c r="A9" s="53"/>
      <c r="B9" s="53" t="s">
        <v>86</v>
      </c>
      <c r="C9" s="53"/>
      <c r="D9" s="53"/>
      <c r="E9" s="53"/>
      <c r="F9" s="53"/>
      <c r="G9" s="53"/>
      <c r="H9" s="53"/>
      <c r="I9" s="53"/>
      <c r="J9" s="53"/>
      <c r="K9" s="53"/>
    </row>
    <row r="10" spans="1:11" ht="15" customHeight="1" x14ac:dyDescent="0.2">
      <c r="A10" s="30" t="s">
        <v>171</v>
      </c>
      <c r="B10" s="52">
        <v>26024</v>
      </c>
      <c r="C10" s="52">
        <v>36036</v>
      </c>
      <c r="D10" s="52">
        <v>37091</v>
      </c>
      <c r="E10" s="52">
        <v>47971</v>
      </c>
      <c r="F10" s="52">
        <v>54520</v>
      </c>
      <c r="G10" s="52">
        <v>65124</v>
      </c>
      <c r="H10" s="52">
        <v>91652</v>
      </c>
      <c r="I10" s="52">
        <v>91495</v>
      </c>
      <c r="J10" s="52">
        <v>101746</v>
      </c>
      <c r="K10" s="52">
        <v>125299</v>
      </c>
    </row>
    <row r="11" spans="1:11" ht="15" customHeight="1" outlineLevel="1" x14ac:dyDescent="0.2">
      <c r="A11" s="49" t="s">
        <v>170</v>
      </c>
      <c r="B11" s="45">
        <v>16348</v>
      </c>
      <c r="C11" s="45">
        <v>19478</v>
      </c>
      <c r="D11" s="45">
        <v>12662</v>
      </c>
      <c r="E11" s="45">
        <v>30736</v>
      </c>
      <c r="F11" s="45">
        <v>34343</v>
      </c>
      <c r="G11" s="45">
        <v>40269</v>
      </c>
      <c r="H11" s="45">
        <v>76033</v>
      </c>
      <c r="I11" s="45">
        <v>59972</v>
      </c>
      <c r="J11" s="45">
        <v>73795</v>
      </c>
      <c r="K11" s="45">
        <v>100118</v>
      </c>
    </row>
    <row r="12" spans="1:11" ht="15" customHeight="1" outlineLevel="1" x14ac:dyDescent="0.2">
      <c r="A12" s="31" t="s">
        <v>169</v>
      </c>
      <c r="B12" s="58">
        <v>9676</v>
      </c>
      <c r="C12" s="58">
        <v>16558</v>
      </c>
      <c r="D12" s="58">
        <v>24429</v>
      </c>
      <c r="E12" s="58">
        <v>17235</v>
      </c>
      <c r="F12" s="58">
        <v>20177</v>
      </c>
      <c r="G12" s="58">
        <v>24855</v>
      </c>
      <c r="H12" s="58">
        <v>15619</v>
      </c>
      <c r="I12" s="58">
        <v>31523</v>
      </c>
      <c r="J12" s="58">
        <v>27951</v>
      </c>
      <c r="K12" s="58">
        <v>25181</v>
      </c>
    </row>
    <row r="13" spans="1:11" ht="15" customHeight="1" outlineLevel="2" x14ac:dyDescent="0.2">
      <c r="A13" s="29" t="s">
        <v>168</v>
      </c>
      <c r="B13" s="45">
        <v>4132</v>
      </c>
      <c r="C13" s="45">
        <v>5267</v>
      </c>
      <c r="D13" s="45">
        <v>6103</v>
      </c>
      <c r="E13" s="45">
        <v>8164</v>
      </c>
      <c r="F13" s="45">
        <v>10856</v>
      </c>
      <c r="G13" s="45">
        <v>12905</v>
      </c>
      <c r="H13" s="45">
        <v>11555</v>
      </c>
      <c r="I13" s="45">
        <v>15287</v>
      </c>
      <c r="J13" s="45">
        <v>11946</v>
      </c>
      <c r="K13" s="45">
        <v>15311</v>
      </c>
    </row>
    <row r="14" spans="1:11" ht="15" customHeight="1" outlineLevel="2" x14ac:dyDescent="0.2">
      <c r="A14" s="25" t="s">
        <v>167</v>
      </c>
      <c r="B14" s="44">
        <v>931</v>
      </c>
      <c r="C14" s="44">
        <v>877</v>
      </c>
      <c r="D14" s="44">
        <v>812</v>
      </c>
      <c r="E14" s="44">
        <v>871</v>
      </c>
      <c r="F14" s="44">
        <v>925</v>
      </c>
      <c r="G14" s="44">
        <v>792</v>
      </c>
      <c r="H14" s="44">
        <v>886</v>
      </c>
      <c r="I14" s="44">
        <v>641</v>
      </c>
      <c r="J14" s="24" t="s">
        <v>52</v>
      </c>
      <c r="K14" s="24" t="s">
        <v>52</v>
      </c>
    </row>
    <row r="15" spans="1:11" ht="15" customHeight="1" outlineLevel="2" x14ac:dyDescent="0.2">
      <c r="A15" s="29" t="s">
        <v>166</v>
      </c>
      <c r="B15" s="45">
        <v>5203</v>
      </c>
      <c r="C15" s="45">
        <v>6703</v>
      </c>
      <c r="D15" s="45">
        <v>7679</v>
      </c>
      <c r="E15" s="45">
        <v>9353</v>
      </c>
      <c r="F15" s="45">
        <v>10794</v>
      </c>
      <c r="G15" s="45">
        <v>12991</v>
      </c>
      <c r="H15" s="45">
        <v>15376</v>
      </c>
      <c r="I15" s="45">
        <v>19362</v>
      </c>
      <c r="J15" s="45">
        <v>22460</v>
      </c>
      <c r="K15" s="45">
        <v>22785</v>
      </c>
    </row>
    <row r="16" spans="1:11" ht="15" customHeight="1" outlineLevel="2" x14ac:dyDescent="0.2">
      <c r="A16" s="25" t="s">
        <v>129</v>
      </c>
      <c r="B16" s="50">
        <v>-548</v>
      </c>
      <c r="C16" s="24" t="s">
        <v>52</v>
      </c>
      <c r="D16" s="24" t="s">
        <v>52</v>
      </c>
      <c r="E16" s="24" t="s">
        <v>52</v>
      </c>
      <c r="F16" s="24" t="s">
        <v>52</v>
      </c>
      <c r="G16" s="24" t="s">
        <v>52</v>
      </c>
      <c r="H16" s="24" t="s">
        <v>52</v>
      </c>
      <c r="I16" s="24" t="s">
        <v>52</v>
      </c>
      <c r="J16" s="24" t="s">
        <v>52</v>
      </c>
      <c r="K16" s="24" t="s">
        <v>52</v>
      </c>
    </row>
    <row r="17" spans="1:11" ht="15" customHeight="1" outlineLevel="2" x14ac:dyDescent="0.2">
      <c r="A17" s="29" t="s">
        <v>74</v>
      </c>
      <c r="B17" s="28" t="s">
        <v>52</v>
      </c>
      <c r="C17" s="28" t="s">
        <v>52</v>
      </c>
      <c r="D17" s="28" t="s">
        <v>52</v>
      </c>
      <c r="E17" s="28" t="s">
        <v>52</v>
      </c>
      <c r="F17" s="28" t="s">
        <v>52</v>
      </c>
      <c r="G17" s="28" t="s">
        <v>52</v>
      </c>
      <c r="H17" s="28" t="s">
        <v>52</v>
      </c>
      <c r="I17" s="28" t="s">
        <v>52</v>
      </c>
      <c r="J17" s="28" t="s">
        <v>52</v>
      </c>
      <c r="K17" s="28" t="s">
        <v>52</v>
      </c>
    </row>
    <row r="18" spans="1:11" ht="15" customHeight="1" outlineLevel="2" x14ac:dyDescent="0.2">
      <c r="A18" s="25" t="s">
        <v>165</v>
      </c>
      <c r="B18" s="50">
        <v>-179</v>
      </c>
      <c r="C18" s="50">
        <v>-38</v>
      </c>
      <c r="D18" s="44">
        <v>258</v>
      </c>
      <c r="E18" s="44">
        <v>778</v>
      </c>
      <c r="F18" s="44">
        <v>173</v>
      </c>
      <c r="G18" s="44">
        <v>1390</v>
      </c>
      <c r="H18" s="44">
        <v>1808</v>
      </c>
      <c r="I18" s="50">
        <v>-8081</v>
      </c>
      <c r="J18" s="50">
        <v>-7763</v>
      </c>
      <c r="K18" s="50">
        <v>-5257</v>
      </c>
    </row>
    <row r="19" spans="1:11" ht="15" customHeight="1" outlineLevel="2" x14ac:dyDescent="0.2">
      <c r="A19" s="29" t="s">
        <v>164</v>
      </c>
      <c r="B19" s="28" t="s">
        <v>52</v>
      </c>
      <c r="C19" s="28" t="s">
        <v>52</v>
      </c>
      <c r="D19" s="28" t="s">
        <v>52</v>
      </c>
      <c r="E19" s="46">
        <v>-6650</v>
      </c>
      <c r="F19" s="46">
        <v>-2798</v>
      </c>
      <c r="G19" s="46">
        <v>-6317</v>
      </c>
      <c r="H19" s="46">
        <v>-12270</v>
      </c>
      <c r="I19" s="45">
        <v>5519</v>
      </c>
      <c r="J19" s="45">
        <v>823</v>
      </c>
      <c r="K19" s="46">
        <v>-2671</v>
      </c>
    </row>
    <row r="20" spans="1:11" ht="15" customHeight="1" outlineLevel="2" x14ac:dyDescent="0.2">
      <c r="A20" s="25" t="s">
        <v>71</v>
      </c>
      <c r="B20" s="24" t="s">
        <v>52</v>
      </c>
      <c r="C20" s="24" t="s">
        <v>52</v>
      </c>
      <c r="D20" s="24" t="s">
        <v>52</v>
      </c>
      <c r="E20" s="24" t="s">
        <v>52</v>
      </c>
      <c r="F20" s="24" t="s">
        <v>52</v>
      </c>
      <c r="G20" s="24" t="s">
        <v>52</v>
      </c>
      <c r="H20" s="24" t="s">
        <v>52</v>
      </c>
      <c r="I20" s="24" t="s">
        <v>52</v>
      </c>
      <c r="J20" s="24" t="s">
        <v>52</v>
      </c>
      <c r="K20" s="24" t="s">
        <v>52</v>
      </c>
    </row>
    <row r="21" spans="1:11" ht="15" customHeight="1" outlineLevel="2" x14ac:dyDescent="0.2">
      <c r="A21" s="29" t="s">
        <v>163</v>
      </c>
      <c r="B21" s="45">
        <v>0</v>
      </c>
      <c r="C21" s="45">
        <v>0</v>
      </c>
      <c r="D21" s="28" t="s">
        <v>52</v>
      </c>
      <c r="E21" s="28" t="s">
        <v>52</v>
      </c>
      <c r="F21" s="28" t="s">
        <v>52</v>
      </c>
      <c r="G21" s="28" t="s">
        <v>52</v>
      </c>
      <c r="H21" s="28" t="s">
        <v>52</v>
      </c>
      <c r="I21" s="28" t="s">
        <v>52</v>
      </c>
      <c r="J21" s="28" t="s">
        <v>52</v>
      </c>
      <c r="K21" s="28" t="s">
        <v>52</v>
      </c>
    </row>
    <row r="22" spans="1:11" ht="15" customHeight="1" outlineLevel="2" x14ac:dyDescent="0.2">
      <c r="A22" s="25" t="s">
        <v>162</v>
      </c>
      <c r="B22" s="24" t="s">
        <v>52</v>
      </c>
      <c r="C22" s="24" t="s">
        <v>52</v>
      </c>
      <c r="D22" s="24" t="s">
        <v>52</v>
      </c>
      <c r="E22" s="24" t="s">
        <v>52</v>
      </c>
      <c r="F22" s="24" t="s">
        <v>52</v>
      </c>
      <c r="G22" s="24" t="s">
        <v>52</v>
      </c>
      <c r="H22" s="24" t="s">
        <v>52</v>
      </c>
      <c r="I22" s="24" t="s">
        <v>52</v>
      </c>
      <c r="J22" s="24" t="s">
        <v>52</v>
      </c>
      <c r="K22" s="24" t="s">
        <v>52</v>
      </c>
    </row>
    <row r="23" spans="1:11" ht="15" customHeight="1" outlineLevel="2" x14ac:dyDescent="0.2">
      <c r="A23" s="43" t="s">
        <v>161</v>
      </c>
      <c r="B23" s="59">
        <v>546</v>
      </c>
      <c r="C23" s="59">
        <v>449</v>
      </c>
      <c r="D23" s="59">
        <v>331</v>
      </c>
      <c r="E23" s="51">
        <v>-189</v>
      </c>
      <c r="F23" s="51">
        <v>-592</v>
      </c>
      <c r="G23" s="51">
        <v>1267</v>
      </c>
      <c r="H23" s="51">
        <v>-213</v>
      </c>
      <c r="I23" s="51">
        <v>1030</v>
      </c>
      <c r="J23" s="51">
        <v>4330</v>
      </c>
      <c r="K23" s="51">
        <v>3419</v>
      </c>
    </row>
    <row r="24" spans="1:11" ht="15" customHeight="1" outlineLevel="3" x14ac:dyDescent="0.2">
      <c r="A24" s="35" t="s">
        <v>160</v>
      </c>
      <c r="B24" s="24" t="s">
        <v>52</v>
      </c>
      <c r="C24" s="24" t="s">
        <v>52</v>
      </c>
      <c r="D24" s="24" t="s">
        <v>52</v>
      </c>
      <c r="E24" s="24" t="s">
        <v>52</v>
      </c>
      <c r="F24" s="24" t="s">
        <v>52</v>
      </c>
      <c r="G24" s="24" t="s">
        <v>52</v>
      </c>
      <c r="H24" s="24" t="s">
        <v>52</v>
      </c>
      <c r="I24" s="24" t="s">
        <v>52</v>
      </c>
      <c r="J24" s="24" t="s">
        <v>52</v>
      </c>
      <c r="K24" s="24" t="s">
        <v>52</v>
      </c>
    </row>
    <row r="25" spans="1:11" ht="15" customHeight="1" outlineLevel="3" x14ac:dyDescent="0.2">
      <c r="A25" s="37" t="s">
        <v>159</v>
      </c>
      <c r="B25" s="45">
        <v>334</v>
      </c>
      <c r="C25" s="45">
        <v>275</v>
      </c>
      <c r="D25" s="45">
        <v>194</v>
      </c>
      <c r="E25" s="28" t="s">
        <v>52</v>
      </c>
      <c r="F25" s="28" t="s">
        <v>52</v>
      </c>
      <c r="G25" s="28" t="s">
        <v>52</v>
      </c>
      <c r="H25" s="28" t="s">
        <v>52</v>
      </c>
      <c r="I25" s="28" t="s">
        <v>52</v>
      </c>
      <c r="J25" s="28" t="s">
        <v>52</v>
      </c>
      <c r="K25" s="28" t="s">
        <v>52</v>
      </c>
    </row>
    <row r="26" spans="1:11" ht="15" customHeight="1" outlineLevel="3" x14ac:dyDescent="0.2">
      <c r="A26" s="35" t="s">
        <v>158</v>
      </c>
      <c r="B26" s="44">
        <v>212</v>
      </c>
      <c r="C26" s="44">
        <v>174</v>
      </c>
      <c r="D26" s="44">
        <v>137</v>
      </c>
      <c r="E26" s="24" t="s">
        <v>52</v>
      </c>
      <c r="F26" s="24" t="s">
        <v>52</v>
      </c>
      <c r="G26" s="24" t="s">
        <v>52</v>
      </c>
      <c r="H26" s="24" t="s">
        <v>52</v>
      </c>
      <c r="I26" s="24" t="s">
        <v>52</v>
      </c>
      <c r="J26" s="24" t="s">
        <v>52</v>
      </c>
      <c r="K26" s="24" t="s">
        <v>52</v>
      </c>
    </row>
    <row r="27" spans="1:11" ht="15" customHeight="1" outlineLevel="2" x14ac:dyDescent="0.2">
      <c r="A27" s="43" t="s">
        <v>157</v>
      </c>
      <c r="B27" s="59">
        <v>-409</v>
      </c>
      <c r="C27" s="59">
        <v>3300</v>
      </c>
      <c r="D27" s="59">
        <v>9246</v>
      </c>
      <c r="E27" s="59">
        <v>4908</v>
      </c>
      <c r="F27" s="59">
        <v>819</v>
      </c>
      <c r="G27" s="59">
        <v>1827</v>
      </c>
      <c r="H27" s="59">
        <v>-1523</v>
      </c>
      <c r="I27" s="59">
        <v>-2235</v>
      </c>
      <c r="J27" s="59">
        <v>-3845</v>
      </c>
      <c r="K27" s="59">
        <v>-8406</v>
      </c>
    </row>
    <row r="28" spans="1:11" ht="15" customHeight="1" outlineLevel="3" x14ac:dyDescent="0.2">
      <c r="A28" s="35" t="s">
        <v>156</v>
      </c>
      <c r="B28" s="50">
        <v>-2094</v>
      </c>
      <c r="C28" s="50">
        <v>-2578</v>
      </c>
      <c r="D28" s="50">
        <v>-3768</v>
      </c>
      <c r="E28" s="50">
        <v>-2169</v>
      </c>
      <c r="F28" s="50">
        <v>-4340</v>
      </c>
      <c r="G28" s="50">
        <v>-6524</v>
      </c>
      <c r="H28" s="50">
        <v>-9095</v>
      </c>
      <c r="I28" s="50">
        <v>-2317</v>
      </c>
      <c r="J28" s="50">
        <v>-7833</v>
      </c>
      <c r="K28" s="50">
        <v>-5891</v>
      </c>
    </row>
    <row r="29" spans="1:11" ht="15" customHeight="1" outlineLevel="3" x14ac:dyDescent="0.2">
      <c r="A29" s="37" t="s">
        <v>155</v>
      </c>
      <c r="B29" s="46">
        <v>-179</v>
      </c>
      <c r="C29" s="45">
        <v>3125</v>
      </c>
      <c r="D29" s="45">
        <v>8211</v>
      </c>
      <c r="E29" s="46">
        <v>-2251</v>
      </c>
      <c r="F29" s="46">
        <v>-3128</v>
      </c>
      <c r="G29" s="45">
        <v>1209</v>
      </c>
      <c r="H29" s="46">
        <v>-625</v>
      </c>
      <c r="I29" s="45">
        <v>584</v>
      </c>
      <c r="J29" s="45">
        <v>523</v>
      </c>
      <c r="K29" s="46">
        <v>-2418</v>
      </c>
    </row>
    <row r="30" spans="1:11" ht="15" customHeight="1" outlineLevel="3" x14ac:dyDescent="0.2">
      <c r="A30" s="62" t="s">
        <v>154</v>
      </c>
      <c r="B30" s="52">
        <v>-318</v>
      </c>
      <c r="C30" s="52">
        <v>312</v>
      </c>
      <c r="D30" s="52">
        <v>-2164</v>
      </c>
      <c r="E30" s="52">
        <v>-1207</v>
      </c>
      <c r="F30" s="52">
        <v>-621</v>
      </c>
      <c r="G30" s="52">
        <v>-1330</v>
      </c>
      <c r="H30" s="52">
        <v>-1846</v>
      </c>
      <c r="I30" s="52">
        <v>-5046</v>
      </c>
      <c r="J30" s="52">
        <v>-2143</v>
      </c>
      <c r="K30" s="52">
        <v>-1397</v>
      </c>
    </row>
    <row r="31" spans="1:11" ht="15" customHeight="1" outlineLevel="4" x14ac:dyDescent="0.2">
      <c r="A31" s="61" t="s">
        <v>153</v>
      </c>
      <c r="B31" s="28" t="s">
        <v>52</v>
      </c>
      <c r="C31" s="28" t="s">
        <v>52</v>
      </c>
      <c r="D31" s="28" t="s">
        <v>52</v>
      </c>
      <c r="E31" s="28" t="s">
        <v>52</v>
      </c>
      <c r="F31" s="28" t="s">
        <v>52</v>
      </c>
      <c r="G31" s="28" t="s">
        <v>52</v>
      </c>
      <c r="H31" s="28" t="s">
        <v>52</v>
      </c>
      <c r="I31" s="28" t="s">
        <v>52</v>
      </c>
      <c r="J31" s="28" t="s">
        <v>52</v>
      </c>
      <c r="K31" s="28" t="s">
        <v>52</v>
      </c>
    </row>
    <row r="32" spans="1:11" ht="15" customHeight="1" outlineLevel="4" x14ac:dyDescent="0.2">
      <c r="A32" s="60" t="s">
        <v>152</v>
      </c>
      <c r="B32" s="24" t="s">
        <v>52</v>
      </c>
      <c r="C32" s="24" t="s">
        <v>52</v>
      </c>
      <c r="D32" s="24" t="s">
        <v>52</v>
      </c>
      <c r="E32" s="24" t="s">
        <v>52</v>
      </c>
      <c r="F32" s="24" t="s">
        <v>52</v>
      </c>
      <c r="G32" s="24" t="s">
        <v>52</v>
      </c>
      <c r="H32" s="24" t="s">
        <v>52</v>
      </c>
      <c r="I32" s="24" t="s">
        <v>52</v>
      </c>
      <c r="J32" s="24" t="s">
        <v>52</v>
      </c>
      <c r="K32" s="24" t="s">
        <v>52</v>
      </c>
    </row>
    <row r="33" spans="1:11" ht="15" customHeight="1" outlineLevel="3" x14ac:dyDescent="0.2">
      <c r="A33" s="37" t="s">
        <v>151</v>
      </c>
      <c r="B33" s="45">
        <v>203</v>
      </c>
      <c r="C33" s="45">
        <v>110</v>
      </c>
      <c r="D33" s="45">
        <v>731</v>
      </c>
      <c r="E33" s="45">
        <v>1067</v>
      </c>
      <c r="F33" s="45">
        <v>428</v>
      </c>
      <c r="G33" s="45">
        <v>694</v>
      </c>
      <c r="H33" s="45">
        <v>283</v>
      </c>
      <c r="I33" s="45">
        <v>707</v>
      </c>
      <c r="J33" s="45">
        <v>664</v>
      </c>
      <c r="K33" s="45">
        <v>359</v>
      </c>
    </row>
    <row r="34" spans="1:11" ht="15" customHeight="1" outlineLevel="3" x14ac:dyDescent="0.2">
      <c r="A34" s="35" t="s">
        <v>150</v>
      </c>
      <c r="B34" s="44">
        <v>1597</v>
      </c>
      <c r="C34" s="44">
        <v>1515</v>
      </c>
      <c r="D34" s="44">
        <v>4891</v>
      </c>
      <c r="E34" s="44">
        <v>8614</v>
      </c>
      <c r="F34" s="44">
        <v>7170</v>
      </c>
      <c r="G34" s="44">
        <v>5504</v>
      </c>
      <c r="H34" s="44">
        <v>7304</v>
      </c>
      <c r="I34" s="44">
        <v>3915</v>
      </c>
      <c r="J34" s="44">
        <v>3937</v>
      </c>
      <c r="K34" s="50">
        <v>-1161</v>
      </c>
    </row>
    <row r="35" spans="1:11" ht="15" customHeight="1" outlineLevel="3" x14ac:dyDescent="0.2">
      <c r="A35" s="37" t="s">
        <v>149</v>
      </c>
      <c r="B35" s="45">
        <v>339</v>
      </c>
      <c r="C35" s="45">
        <v>593</v>
      </c>
      <c r="D35" s="45">
        <v>955</v>
      </c>
      <c r="E35" s="45">
        <v>483</v>
      </c>
      <c r="F35" s="45">
        <v>1273</v>
      </c>
      <c r="G35" s="45">
        <v>1639</v>
      </c>
      <c r="H35" s="45">
        <v>1682</v>
      </c>
      <c r="I35" s="46">
        <v>-445</v>
      </c>
      <c r="J35" s="45">
        <v>482</v>
      </c>
      <c r="K35" s="45">
        <v>1059</v>
      </c>
    </row>
    <row r="36" spans="1:11" ht="15" customHeight="1" outlineLevel="3" x14ac:dyDescent="0.2">
      <c r="A36" s="35" t="s">
        <v>148</v>
      </c>
      <c r="B36" s="44">
        <v>43</v>
      </c>
      <c r="C36" s="44">
        <v>223</v>
      </c>
      <c r="D36" s="44">
        <v>390</v>
      </c>
      <c r="E36" s="44">
        <v>371</v>
      </c>
      <c r="F36" s="44">
        <v>37</v>
      </c>
      <c r="G36" s="44">
        <v>635</v>
      </c>
      <c r="H36" s="44">
        <v>774</v>
      </c>
      <c r="I36" s="44">
        <v>367</v>
      </c>
      <c r="J36" s="44">
        <v>525</v>
      </c>
      <c r="K36" s="44">
        <v>1043</v>
      </c>
    </row>
    <row r="37" spans="1:11" ht="15" customHeight="1" x14ac:dyDescent="0.2">
      <c r="A37" s="32" t="s">
        <v>147</v>
      </c>
      <c r="B37" s="51">
        <v>-23711</v>
      </c>
      <c r="C37" s="51">
        <v>-31165</v>
      </c>
      <c r="D37" s="51">
        <v>-31401</v>
      </c>
      <c r="E37" s="51">
        <v>-28504</v>
      </c>
      <c r="F37" s="51">
        <v>-29491</v>
      </c>
      <c r="G37" s="51">
        <v>-32773</v>
      </c>
      <c r="H37" s="51">
        <v>-35523</v>
      </c>
      <c r="I37" s="51">
        <v>-20298</v>
      </c>
      <c r="J37" s="51">
        <v>-27063</v>
      </c>
      <c r="K37" s="51">
        <v>-45536</v>
      </c>
    </row>
    <row r="38" spans="1:11" ht="15" customHeight="1" outlineLevel="1" x14ac:dyDescent="0.2">
      <c r="A38" s="31" t="s">
        <v>146</v>
      </c>
      <c r="B38" s="52">
        <v>-9915</v>
      </c>
      <c r="C38" s="58">
        <v>-9972</v>
      </c>
      <c r="D38" s="58">
        <v>-13085</v>
      </c>
      <c r="E38" s="58">
        <v>-25041</v>
      </c>
      <c r="F38" s="58">
        <v>-22959</v>
      </c>
      <c r="G38" s="58">
        <v>-22213</v>
      </c>
      <c r="H38" s="58">
        <v>-24099</v>
      </c>
      <c r="I38" s="58">
        <v>-29896</v>
      </c>
      <c r="J38" s="58">
        <v>-33302</v>
      </c>
      <c r="K38" s="58">
        <v>-55202</v>
      </c>
    </row>
    <row r="39" spans="1:11" ht="15" customHeight="1" outlineLevel="2" x14ac:dyDescent="0.2">
      <c r="A39" s="29" t="s">
        <v>145</v>
      </c>
      <c r="B39" s="28" t="s">
        <v>52</v>
      </c>
      <c r="C39" s="46">
        <v>-10212</v>
      </c>
      <c r="D39" s="46">
        <v>-13184</v>
      </c>
      <c r="E39" s="46">
        <v>-25139</v>
      </c>
      <c r="F39" s="46">
        <v>-23548</v>
      </c>
      <c r="G39" s="46">
        <v>-22281</v>
      </c>
      <c r="H39" s="46">
        <v>-24640</v>
      </c>
      <c r="I39" s="46">
        <v>-31485</v>
      </c>
      <c r="J39" s="46">
        <v>-32251</v>
      </c>
      <c r="K39" s="46">
        <v>-52535</v>
      </c>
    </row>
    <row r="40" spans="1:11" ht="15" customHeight="1" outlineLevel="2" x14ac:dyDescent="0.2">
      <c r="A40" s="25" t="s">
        <v>144</v>
      </c>
      <c r="B40" s="24" t="s">
        <v>52</v>
      </c>
      <c r="C40" s="44">
        <v>240</v>
      </c>
      <c r="D40" s="44">
        <v>99</v>
      </c>
      <c r="E40" s="44">
        <v>98</v>
      </c>
      <c r="F40" s="44">
        <v>589</v>
      </c>
      <c r="G40" s="44">
        <v>68</v>
      </c>
      <c r="H40" s="44">
        <v>541</v>
      </c>
      <c r="I40" s="44">
        <v>1589</v>
      </c>
      <c r="J40" s="50">
        <v>-1051</v>
      </c>
      <c r="K40" s="50">
        <v>-2667</v>
      </c>
    </row>
    <row r="41" spans="1:11" ht="15" customHeight="1" outlineLevel="1" x14ac:dyDescent="0.2">
      <c r="A41" s="49" t="s">
        <v>143</v>
      </c>
      <c r="B41" s="46">
        <v>-74368</v>
      </c>
      <c r="C41" s="46">
        <v>-84509</v>
      </c>
      <c r="D41" s="46">
        <v>-92195</v>
      </c>
      <c r="E41" s="46">
        <v>-50158</v>
      </c>
      <c r="F41" s="46">
        <v>-100315</v>
      </c>
      <c r="G41" s="46">
        <v>-136576</v>
      </c>
      <c r="H41" s="46">
        <v>-135196</v>
      </c>
      <c r="I41" s="46">
        <v>-78874</v>
      </c>
      <c r="J41" s="46">
        <v>-77858</v>
      </c>
      <c r="K41" s="46">
        <v>-86679</v>
      </c>
    </row>
    <row r="42" spans="1:11" ht="15" customHeight="1" outlineLevel="1" x14ac:dyDescent="0.2">
      <c r="A42" s="48" t="s">
        <v>142</v>
      </c>
      <c r="B42" s="44">
        <v>62905</v>
      </c>
      <c r="C42" s="44">
        <v>66895</v>
      </c>
      <c r="D42" s="44">
        <v>73959</v>
      </c>
      <c r="E42" s="44">
        <v>48507</v>
      </c>
      <c r="F42" s="44">
        <v>97825</v>
      </c>
      <c r="G42" s="44">
        <v>132906</v>
      </c>
      <c r="H42" s="44">
        <v>128294</v>
      </c>
      <c r="I42" s="44">
        <v>97822</v>
      </c>
      <c r="J42" s="44">
        <v>86672</v>
      </c>
      <c r="K42" s="44">
        <v>103428</v>
      </c>
    </row>
    <row r="43" spans="1:11" ht="15" customHeight="1" outlineLevel="1" x14ac:dyDescent="0.2">
      <c r="A43" s="33" t="s">
        <v>141</v>
      </c>
      <c r="B43" s="51">
        <v>-2172</v>
      </c>
      <c r="C43" s="59">
        <v>-615</v>
      </c>
      <c r="D43" s="59">
        <v>-1212</v>
      </c>
      <c r="E43" s="59">
        <v>-321</v>
      </c>
      <c r="F43" s="59">
        <v>-1527</v>
      </c>
      <c r="G43" s="59">
        <v>-6152</v>
      </c>
      <c r="H43" s="59">
        <v>-1904</v>
      </c>
      <c r="I43" s="59">
        <v>-2381</v>
      </c>
      <c r="J43" s="59">
        <v>-2080</v>
      </c>
      <c r="K43" s="59">
        <v>-4152</v>
      </c>
    </row>
    <row r="44" spans="1:11" ht="15" customHeight="1" outlineLevel="2" x14ac:dyDescent="0.2">
      <c r="A44" s="25" t="s">
        <v>140</v>
      </c>
      <c r="B44" s="24" t="s">
        <v>52</v>
      </c>
      <c r="C44" s="50">
        <v>-1109</v>
      </c>
      <c r="D44" s="50">
        <v>-1745</v>
      </c>
      <c r="E44" s="50">
        <v>-2073</v>
      </c>
      <c r="F44" s="50">
        <v>-1932</v>
      </c>
      <c r="G44" s="50">
        <v>-7175</v>
      </c>
      <c r="H44" s="50">
        <v>-2838</v>
      </c>
      <c r="I44" s="50">
        <v>-2531</v>
      </c>
      <c r="J44" s="50">
        <v>-3027</v>
      </c>
      <c r="K44" s="50">
        <v>-5034</v>
      </c>
    </row>
    <row r="45" spans="1:11" ht="15" customHeight="1" outlineLevel="2" x14ac:dyDescent="0.2">
      <c r="A45" s="29" t="s">
        <v>139</v>
      </c>
      <c r="B45" s="28" t="s">
        <v>52</v>
      </c>
      <c r="C45" s="45">
        <v>494</v>
      </c>
      <c r="D45" s="45">
        <v>533</v>
      </c>
      <c r="E45" s="45">
        <v>1752</v>
      </c>
      <c r="F45" s="45">
        <v>405</v>
      </c>
      <c r="G45" s="45">
        <v>1023</v>
      </c>
      <c r="H45" s="45">
        <v>934</v>
      </c>
      <c r="I45" s="45">
        <v>150</v>
      </c>
      <c r="J45" s="45">
        <v>947</v>
      </c>
      <c r="K45" s="45">
        <v>882</v>
      </c>
    </row>
    <row r="46" spans="1:11" ht="15" customHeight="1" outlineLevel="1" x14ac:dyDescent="0.2">
      <c r="A46" s="48" t="s">
        <v>138</v>
      </c>
      <c r="B46" s="50">
        <v>-350</v>
      </c>
      <c r="C46" s="50">
        <v>-2428</v>
      </c>
      <c r="D46" s="44">
        <v>0</v>
      </c>
      <c r="E46" s="44">
        <v>0</v>
      </c>
      <c r="F46" s="24" t="s">
        <v>52</v>
      </c>
      <c r="G46" s="24" t="s">
        <v>52</v>
      </c>
      <c r="H46" s="24" t="s">
        <v>52</v>
      </c>
      <c r="I46" s="24" t="s">
        <v>52</v>
      </c>
      <c r="J46" s="24" t="s">
        <v>52</v>
      </c>
      <c r="K46" s="24" t="s">
        <v>52</v>
      </c>
    </row>
    <row r="47" spans="1:11" ht="15" customHeight="1" outlineLevel="1" x14ac:dyDescent="0.2">
      <c r="A47" s="49" t="s">
        <v>137</v>
      </c>
      <c r="B47" s="45">
        <v>425</v>
      </c>
      <c r="C47" s="45">
        <v>450</v>
      </c>
      <c r="D47" s="45">
        <v>0</v>
      </c>
      <c r="E47" s="45">
        <v>0</v>
      </c>
      <c r="F47" s="28" t="s">
        <v>52</v>
      </c>
      <c r="G47" s="28" t="s">
        <v>52</v>
      </c>
      <c r="H47" s="28" t="s">
        <v>52</v>
      </c>
      <c r="I47" s="28" t="s">
        <v>52</v>
      </c>
      <c r="J47" s="28" t="s">
        <v>52</v>
      </c>
      <c r="K47" s="28" t="s">
        <v>52</v>
      </c>
    </row>
    <row r="48" spans="1:11" ht="15" customHeight="1" outlineLevel="1" x14ac:dyDescent="0.2">
      <c r="A48" s="31" t="s">
        <v>136</v>
      </c>
      <c r="B48" s="58">
        <v>-236</v>
      </c>
      <c r="C48" s="58">
        <v>-986</v>
      </c>
      <c r="D48" s="52">
        <v>-287</v>
      </c>
      <c r="E48" s="52">
        <v>-1491</v>
      </c>
      <c r="F48" s="52">
        <v>-2515</v>
      </c>
      <c r="G48" s="52">
        <v>-738</v>
      </c>
      <c r="H48" s="52">
        <v>-2618</v>
      </c>
      <c r="I48" s="52">
        <v>-6969</v>
      </c>
      <c r="J48" s="52">
        <v>-495</v>
      </c>
      <c r="K48" s="52">
        <v>-2931</v>
      </c>
    </row>
    <row r="49" spans="1:11" ht="15" customHeight="1" outlineLevel="2" x14ac:dyDescent="0.2">
      <c r="A49" s="29" t="s">
        <v>135</v>
      </c>
      <c r="B49" s="45">
        <v>0</v>
      </c>
      <c r="C49" s="45">
        <v>0</v>
      </c>
      <c r="D49" s="28" t="s">
        <v>52</v>
      </c>
      <c r="E49" s="28" t="s">
        <v>52</v>
      </c>
      <c r="F49" s="28" t="s">
        <v>52</v>
      </c>
      <c r="G49" s="28" t="s">
        <v>52</v>
      </c>
      <c r="H49" s="28" t="s">
        <v>52</v>
      </c>
      <c r="I49" s="28" t="s">
        <v>52</v>
      </c>
      <c r="J49" s="28" t="s">
        <v>52</v>
      </c>
      <c r="K49" s="28" t="s">
        <v>52</v>
      </c>
    </row>
    <row r="50" spans="1:11" ht="15" customHeight="1" outlineLevel="2" x14ac:dyDescent="0.2">
      <c r="A50" s="25" t="s">
        <v>134</v>
      </c>
      <c r="B50" s="50">
        <v>-236</v>
      </c>
      <c r="C50" s="50">
        <v>-986</v>
      </c>
      <c r="D50" s="24" t="s">
        <v>52</v>
      </c>
      <c r="E50" s="24" t="s">
        <v>52</v>
      </c>
      <c r="F50" s="24" t="s">
        <v>52</v>
      </c>
      <c r="G50" s="24" t="s">
        <v>52</v>
      </c>
      <c r="H50" s="24" t="s">
        <v>52</v>
      </c>
      <c r="I50" s="24" t="s">
        <v>52</v>
      </c>
      <c r="J50" s="24" t="s">
        <v>52</v>
      </c>
      <c r="K50" s="24" t="s">
        <v>52</v>
      </c>
    </row>
    <row r="51" spans="1:11" ht="15" customHeight="1" outlineLevel="1" x14ac:dyDescent="0.2">
      <c r="A51" s="49" t="s">
        <v>133</v>
      </c>
      <c r="B51" s="28" t="s">
        <v>52</v>
      </c>
      <c r="C51" s="28" t="s">
        <v>52</v>
      </c>
      <c r="D51" s="45">
        <v>1419</v>
      </c>
      <c r="E51" s="45">
        <v>0</v>
      </c>
      <c r="F51" s="45">
        <v>0</v>
      </c>
      <c r="G51" s="28" t="s">
        <v>52</v>
      </c>
      <c r="H51" s="28" t="s">
        <v>52</v>
      </c>
      <c r="I51" s="28" t="s">
        <v>52</v>
      </c>
      <c r="J51" s="28" t="s">
        <v>52</v>
      </c>
      <c r="K51" s="28" t="s">
        <v>52</v>
      </c>
    </row>
    <row r="52" spans="1:11" ht="15" customHeight="1" x14ac:dyDescent="0.2">
      <c r="A52" s="30" t="s">
        <v>132</v>
      </c>
      <c r="B52" s="52">
        <v>-3677</v>
      </c>
      <c r="C52" s="52">
        <v>-8332</v>
      </c>
      <c r="D52" s="52">
        <v>-8298</v>
      </c>
      <c r="E52" s="52">
        <v>-13179</v>
      </c>
      <c r="F52" s="52">
        <v>-23209</v>
      </c>
      <c r="G52" s="52">
        <v>-24408</v>
      </c>
      <c r="H52" s="52">
        <v>-61362</v>
      </c>
      <c r="I52" s="52">
        <v>-69757</v>
      </c>
      <c r="J52" s="52">
        <v>-72093</v>
      </c>
      <c r="K52" s="52">
        <v>-79733</v>
      </c>
    </row>
    <row r="53" spans="1:11" ht="15" customHeight="1" outlineLevel="1" x14ac:dyDescent="0.2">
      <c r="A53" s="49" t="s">
        <v>131</v>
      </c>
      <c r="B53" s="46">
        <v>-2375</v>
      </c>
      <c r="C53" s="46">
        <v>-3304</v>
      </c>
      <c r="D53" s="46">
        <v>-4166</v>
      </c>
      <c r="E53" s="46">
        <v>-4993</v>
      </c>
      <c r="F53" s="46">
        <v>-4765</v>
      </c>
      <c r="G53" s="46">
        <v>-5720</v>
      </c>
      <c r="H53" s="46">
        <v>-10162</v>
      </c>
      <c r="I53" s="46">
        <v>-9300</v>
      </c>
      <c r="J53" s="46">
        <v>-9837</v>
      </c>
      <c r="K53" s="46">
        <v>-12190</v>
      </c>
    </row>
    <row r="54" spans="1:11" ht="15" customHeight="1" outlineLevel="1" x14ac:dyDescent="0.2">
      <c r="A54" s="48" t="s">
        <v>130</v>
      </c>
      <c r="B54" s="24" t="s">
        <v>52</v>
      </c>
      <c r="C54" s="24" t="s">
        <v>52</v>
      </c>
      <c r="D54" s="24" t="s">
        <v>52</v>
      </c>
      <c r="E54" s="24" t="s">
        <v>52</v>
      </c>
      <c r="F54" s="24" t="s">
        <v>52</v>
      </c>
      <c r="G54" s="24" t="s">
        <v>52</v>
      </c>
      <c r="H54" s="24" t="s">
        <v>52</v>
      </c>
      <c r="I54" s="24" t="s">
        <v>52</v>
      </c>
      <c r="J54" s="24" t="s">
        <v>52</v>
      </c>
      <c r="K54" s="24" t="s">
        <v>52</v>
      </c>
    </row>
    <row r="55" spans="1:11" ht="15" customHeight="1" outlineLevel="1" x14ac:dyDescent="0.2">
      <c r="A55" s="49" t="s">
        <v>129</v>
      </c>
      <c r="B55" s="45">
        <v>548</v>
      </c>
      <c r="C55" s="28" t="s">
        <v>52</v>
      </c>
      <c r="D55" s="28" t="s">
        <v>52</v>
      </c>
      <c r="E55" s="28" t="s">
        <v>52</v>
      </c>
      <c r="F55" s="28" t="s">
        <v>52</v>
      </c>
      <c r="G55" s="28" t="s">
        <v>52</v>
      </c>
      <c r="H55" s="28" t="s">
        <v>52</v>
      </c>
      <c r="I55" s="28" t="s">
        <v>52</v>
      </c>
      <c r="J55" s="28" t="s">
        <v>52</v>
      </c>
      <c r="K55" s="28" t="s">
        <v>52</v>
      </c>
    </row>
    <row r="56" spans="1:11" ht="15" customHeight="1" outlineLevel="1" x14ac:dyDescent="0.2">
      <c r="A56" s="48" t="s">
        <v>128</v>
      </c>
      <c r="B56" s="24" t="s">
        <v>52</v>
      </c>
      <c r="C56" s="24" t="s">
        <v>52</v>
      </c>
      <c r="D56" s="24" t="s">
        <v>52</v>
      </c>
      <c r="E56" s="24" t="s">
        <v>52</v>
      </c>
      <c r="F56" s="24" t="s">
        <v>52</v>
      </c>
      <c r="G56" s="24" t="s">
        <v>52</v>
      </c>
      <c r="H56" s="24" t="s">
        <v>52</v>
      </c>
      <c r="I56" s="24" t="s">
        <v>52</v>
      </c>
      <c r="J56" s="24" t="s">
        <v>52</v>
      </c>
      <c r="K56" s="24" t="s">
        <v>52</v>
      </c>
    </row>
    <row r="57" spans="1:11" ht="15" customHeight="1" outlineLevel="1" x14ac:dyDescent="0.2">
      <c r="A57" s="49" t="s">
        <v>127</v>
      </c>
      <c r="B57" s="28" t="s">
        <v>52</v>
      </c>
      <c r="C57" s="28" t="s">
        <v>52</v>
      </c>
      <c r="D57" s="28" t="s">
        <v>52</v>
      </c>
      <c r="E57" s="28" t="s">
        <v>52</v>
      </c>
      <c r="F57" s="28" t="s">
        <v>52</v>
      </c>
      <c r="G57" s="28" t="s">
        <v>52</v>
      </c>
      <c r="H57" s="28" t="s">
        <v>52</v>
      </c>
      <c r="I57" s="28" t="s">
        <v>52</v>
      </c>
      <c r="J57" s="28" t="s">
        <v>52</v>
      </c>
      <c r="K57" s="28" t="s">
        <v>52</v>
      </c>
    </row>
    <row r="58" spans="1:11" ht="15" customHeight="1" outlineLevel="1" x14ac:dyDescent="0.2">
      <c r="A58" s="48" t="s">
        <v>126</v>
      </c>
      <c r="B58" s="24" t="s">
        <v>52</v>
      </c>
      <c r="C58" s="24" t="s">
        <v>52</v>
      </c>
      <c r="D58" s="24" t="s">
        <v>52</v>
      </c>
      <c r="E58" s="24" t="s">
        <v>52</v>
      </c>
      <c r="F58" s="24" t="s">
        <v>52</v>
      </c>
      <c r="G58" s="24" t="s">
        <v>52</v>
      </c>
      <c r="H58" s="24" t="s">
        <v>52</v>
      </c>
      <c r="I58" s="24" t="s">
        <v>52</v>
      </c>
      <c r="J58" s="24" t="s">
        <v>52</v>
      </c>
      <c r="K58" s="24" t="s">
        <v>52</v>
      </c>
    </row>
    <row r="59" spans="1:11" ht="15" customHeight="1" outlineLevel="1" x14ac:dyDescent="0.2">
      <c r="A59" s="49" t="s">
        <v>64</v>
      </c>
      <c r="B59" s="46">
        <v>-47</v>
      </c>
      <c r="C59" s="45">
        <v>0</v>
      </c>
      <c r="D59" s="45">
        <v>0</v>
      </c>
      <c r="E59" s="28" t="s">
        <v>52</v>
      </c>
      <c r="F59" s="28" t="s">
        <v>52</v>
      </c>
      <c r="G59" s="28" t="s">
        <v>52</v>
      </c>
      <c r="H59" s="28" t="s">
        <v>52</v>
      </c>
      <c r="I59" s="28" t="s">
        <v>52</v>
      </c>
      <c r="J59" s="28" t="s">
        <v>52</v>
      </c>
      <c r="K59" s="28" t="s">
        <v>52</v>
      </c>
    </row>
    <row r="60" spans="1:11" ht="15" customHeight="1" outlineLevel="1" x14ac:dyDescent="0.2">
      <c r="A60" s="48" t="s">
        <v>125</v>
      </c>
      <c r="B60" s="50">
        <v>-1780</v>
      </c>
      <c r="C60" s="50">
        <v>-3693</v>
      </c>
      <c r="D60" s="50">
        <v>-4846</v>
      </c>
      <c r="E60" s="50">
        <v>-9075</v>
      </c>
      <c r="F60" s="50">
        <v>-18396</v>
      </c>
      <c r="G60" s="50">
        <v>-31149</v>
      </c>
      <c r="H60" s="50">
        <v>-50274</v>
      </c>
      <c r="I60" s="50">
        <v>-59296</v>
      </c>
      <c r="J60" s="50">
        <v>-61504</v>
      </c>
      <c r="K60" s="50">
        <v>-62222</v>
      </c>
    </row>
    <row r="61" spans="1:11" ht="15" customHeight="1" outlineLevel="1" x14ac:dyDescent="0.2">
      <c r="A61" s="49" t="s">
        <v>124</v>
      </c>
      <c r="B61" s="28" t="s">
        <v>52</v>
      </c>
      <c r="C61" s="28" t="s">
        <v>52</v>
      </c>
      <c r="D61" s="28" t="s">
        <v>52</v>
      </c>
      <c r="E61" s="28" t="s">
        <v>52</v>
      </c>
      <c r="F61" s="28" t="s">
        <v>52</v>
      </c>
      <c r="G61" s="28" t="s">
        <v>52</v>
      </c>
      <c r="H61" s="28" t="s">
        <v>52</v>
      </c>
      <c r="I61" s="28" t="s">
        <v>52</v>
      </c>
      <c r="J61" s="28" t="s">
        <v>52</v>
      </c>
      <c r="K61" s="46">
        <v>-7363</v>
      </c>
    </row>
    <row r="62" spans="1:11" ht="15" customHeight="1" outlineLevel="1" x14ac:dyDescent="0.2">
      <c r="A62" s="31" t="s">
        <v>123</v>
      </c>
      <c r="B62" s="52">
        <v>13705</v>
      </c>
      <c r="C62" s="52">
        <v>8729</v>
      </c>
      <c r="D62" s="52">
        <v>4291</v>
      </c>
      <c r="E62" s="52">
        <v>6766</v>
      </c>
      <c r="F62" s="52">
        <v>317</v>
      </c>
      <c r="G62" s="52">
        <v>11761</v>
      </c>
      <c r="H62" s="52">
        <v>20199</v>
      </c>
      <c r="I62" s="52">
        <v>52872</v>
      </c>
      <c r="J62" s="52">
        <v>10790</v>
      </c>
      <c r="K62" s="52">
        <v>13589</v>
      </c>
    </row>
    <row r="63" spans="1:11" ht="15" customHeight="1" outlineLevel="2" x14ac:dyDescent="0.2">
      <c r="A63" s="29" t="s">
        <v>122</v>
      </c>
      <c r="B63" s="28" t="s">
        <v>52</v>
      </c>
      <c r="C63" s="28" t="s">
        <v>52</v>
      </c>
      <c r="D63" s="28" t="s">
        <v>52</v>
      </c>
      <c r="E63" s="28" t="s">
        <v>52</v>
      </c>
      <c r="F63" s="28" t="s">
        <v>52</v>
      </c>
      <c r="G63" s="28" t="s">
        <v>52</v>
      </c>
      <c r="H63" s="28" t="s">
        <v>52</v>
      </c>
      <c r="I63" s="28" t="s">
        <v>52</v>
      </c>
      <c r="J63" s="28" t="s">
        <v>52</v>
      </c>
      <c r="K63" s="28" t="s">
        <v>52</v>
      </c>
    </row>
    <row r="64" spans="1:11" ht="15" customHeight="1" outlineLevel="2" x14ac:dyDescent="0.2">
      <c r="A64" s="25" t="s">
        <v>121</v>
      </c>
      <c r="B64" s="24" t="s">
        <v>52</v>
      </c>
      <c r="C64" s="24" t="s">
        <v>52</v>
      </c>
      <c r="D64" s="24" t="s">
        <v>52</v>
      </c>
      <c r="E64" s="24" t="s">
        <v>52</v>
      </c>
      <c r="F64" s="24" t="s">
        <v>52</v>
      </c>
      <c r="G64" s="24" t="s">
        <v>52</v>
      </c>
      <c r="H64" s="24" t="s">
        <v>52</v>
      </c>
      <c r="I64" s="24" t="s">
        <v>52</v>
      </c>
      <c r="J64" s="24" t="s">
        <v>52</v>
      </c>
      <c r="K64" s="24" t="s">
        <v>52</v>
      </c>
    </row>
    <row r="65" spans="1:11" ht="15" customHeight="1" outlineLevel="1" x14ac:dyDescent="0.2">
      <c r="A65" s="49" t="s">
        <v>120</v>
      </c>
      <c r="B65" s="46">
        <v>-13728</v>
      </c>
      <c r="C65" s="46">
        <v>-10064</v>
      </c>
      <c r="D65" s="46">
        <v>-4377</v>
      </c>
      <c r="E65" s="46">
        <v>-6827</v>
      </c>
      <c r="F65" s="46">
        <v>-585</v>
      </c>
      <c r="G65" s="46">
        <v>-2100</v>
      </c>
      <c r="H65" s="46">
        <v>-21435</v>
      </c>
      <c r="I65" s="46">
        <v>-54068</v>
      </c>
      <c r="J65" s="46">
        <v>-11550</v>
      </c>
      <c r="K65" s="46">
        <v>-12701</v>
      </c>
    </row>
    <row r="66" spans="1:11" ht="15" customHeight="1" outlineLevel="1" x14ac:dyDescent="0.2">
      <c r="A66" s="48" t="s">
        <v>119</v>
      </c>
      <c r="B66" s="24" t="s">
        <v>52</v>
      </c>
      <c r="C66" s="24" t="s">
        <v>52</v>
      </c>
      <c r="D66" s="44">
        <v>800</v>
      </c>
      <c r="E66" s="44">
        <v>950</v>
      </c>
      <c r="F66" s="44">
        <v>220</v>
      </c>
      <c r="G66" s="44">
        <v>2800</v>
      </c>
      <c r="H66" s="44">
        <v>310</v>
      </c>
      <c r="I66" s="44">
        <v>35</v>
      </c>
      <c r="J66" s="44">
        <v>8</v>
      </c>
      <c r="K66" s="44">
        <v>1154</v>
      </c>
    </row>
    <row r="67" spans="1:11" ht="15" customHeight="1" x14ac:dyDescent="0.2">
      <c r="A67" s="28" t="s">
        <v>118</v>
      </c>
      <c r="B67" s="46">
        <v>-434</v>
      </c>
      <c r="C67" s="46">
        <v>-170</v>
      </c>
      <c r="D67" s="45">
        <v>405</v>
      </c>
      <c r="E67" s="46">
        <v>-302</v>
      </c>
      <c r="F67" s="46">
        <v>-23</v>
      </c>
      <c r="G67" s="45">
        <v>24</v>
      </c>
      <c r="H67" s="46">
        <v>-287</v>
      </c>
      <c r="I67" s="46">
        <v>-506</v>
      </c>
      <c r="J67" s="46">
        <v>-421</v>
      </c>
      <c r="K67" s="46">
        <v>-612</v>
      </c>
    </row>
    <row r="68" spans="1:11" ht="15" customHeight="1" x14ac:dyDescent="0.2">
      <c r="A68" s="24" t="s">
        <v>117</v>
      </c>
      <c r="B68" s="50">
        <v>-1798</v>
      </c>
      <c r="C68" s="50">
        <v>-3631</v>
      </c>
      <c r="D68" s="50">
        <v>-2203</v>
      </c>
      <c r="E68" s="47">
        <v>5986</v>
      </c>
      <c r="F68" s="47">
        <v>1797</v>
      </c>
      <c r="G68" s="47">
        <v>7967</v>
      </c>
      <c r="H68" s="57">
        <v>-5520</v>
      </c>
      <c r="I68" s="47">
        <v>934</v>
      </c>
      <c r="J68" s="47">
        <v>2169</v>
      </c>
      <c r="K68" s="57">
        <v>-582</v>
      </c>
    </row>
    <row r="69" spans="1:11" ht="15" customHeight="1" x14ac:dyDescent="0.2">
      <c r="A69" s="28" t="s">
        <v>116</v>
      </c>
      <c r="B69" s="45">
        <v>0</v>
      </c>
      <c r="C69" s="28" t="s">
        <v>52</v>
      </c>
      <c r="D69" s="28" t="s">
        <v>52</v>
      </c>
      <c r="E69" s="28" t="s">
        <v>52</v>
      </c>
      <c r="F69" s="28" t="s">
        <v>52</v>
      </c>
      <c r="G69" s="28" t="s">
        <v>52</v>
      </c>
      <c r="H69" s="28" t="s">
        <v>52</v>
      </c>
      <c r="I69" s="28" t="s">
        <v>52</v>
      </c>
      <c r="J69" s="28" t="s">
        <v>52</v>
      </c>
      <c r="K69" s="28" t="s">
        <v>52</v>
      </c>
    </row>
    <row r="70" spans="1:11" ht="15" customHeight="1" x14ac:dyDescent="0.2">
      <c r="A70" s="24" t="s">
        <v>115</v>
      </c>
      <c r="B70" s="57">
        <v>-1798</v>
      </c>
      <c r="C70" s="50">
        <v>-3631</v>
      </c>
      <c r="D70" s="50">
        <v>-2203</v>
      </c>
      <c r="E70" s="44">
        <v>5986</v>
      </c>
      <c r="F70" s="44">
        <v>1797</v>
      </c>
      <c r="G70" s="44">
        <v>7967</v>
      </c>
      <c r="H70" s="50">
        <v>-5520</v>
      </c>
      <c r="I70" s="44">
        <v>934</v>
      </c>
      <c r="J70" s="44">
        <v>2169</v>
      </c>
      <c r="K70" s="50">
        <v>-582</v>
      </c>
    </row>
    <row r="71" spans="1:11" ht="15" customHeight="1" x14ac:dyDescent="0.2">
      <c r="A71" s="28" t="s">
        <v>114</v>
      </c>
      <c r="B71" s="45">
        <v>18347</v>
      </c>
      <c r="C71" s="45">
        <v>16549</v>
      </c>
      <c r="D71" s="45">
        <v>12918</v>
      </c>
      <c r="E71" s="45">
        <v>10715</v>
      </c>
      <c r="F71" s="45">
        <v>16701</v>
      </c>
      <c r="G71" s="45">
        <v>18498</v>
      </c>
      <c r="H71" s="45">
        <v>26465</v>
      </c>
      <c r="I71" s="45">
        <v>21879</v>
      </c>
      <c r="J71" s="45">
        <v>24048</v>
      </c>
      <c r="K71" s="45">
        <v>23466</v>
      </c>
    </row>
    <row r="72" spans="1:11" ht="15" customHeight="1" x14ac:dyDescent="0.2">
      <c r="A72" s="24" t="s">
        <v>113</v>
      </c>
      <c r="B72" s="44">
        <v>16549</v>
      </c>
      <c r="C72" s="44">
        <v>12918</v>
      </c>
      <c r="D72" s="44">
        <v>10715</v>
      </c>
      <c r="E72" s="44">
        <v>16701</v>
      </c>
      <c r="F72" s="44">
        <v>18498</v>
      </c>
      <c r="G72" s="44">
        <v>26465</v>
      </c>
      <c r="H72" s="44">
        <v>20945</v>
      </c>
      <c r="I72" s="44">
        <v>21879</v>
      </c>
      <c r="J72" s="44">
        <v>24048</v>
      </c>
      <c r="K72" s="44">
        <v>23466</v>
      </c>
    </row>
    <row r="73" spans="1:11" ht="15" customHeight="1" x14ac:dyDescent="0.2">
      <c r="A73" s="32" t="s">
        <v>112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</row>
    <row r="74" spans="1:11" ht="15" customHeight="1" outlineLevel="1" x14ac:dyDescent="0.2">
      <c r="A74" s="48" t="s">
        <v>111</v>
      </c>
      <c r="B74" s="24" t="s">
        <v>52</v>
      </c>
      <c r="C74" s="50">
        <v>-1643</v>
      </c>
      <c r="D74" s="50">
        <v>-6191</v>
      </c>
      <c r="E74" s="50">
        <v>-5671</v>
      </c>
      <c r="F74" s="50">
        <v>-8203</v>
      </c>
      <c r="G74" s="50">
        <v>-4990</v>
      </c>
      <c r="H74" s="50">
        <v>-13412</v>
      </c>
      <c r="I74" s="24" t="s">
        <v>52</v>
      </c>
      <c r="J74" s="24" t="s">
        <v>52</v>
      </c>
      <c r="K74" s="24" t="s">
        <v>52</v>
      </c>
    </row>
    <row r="75" spans="1:11" ht="15" customHeight="1" outlineLevel="1" x14ac:dyDescent="0.2">
      <c r="A75" s="49" t="s">
        <v>110</v>
      </c>
      <c r="B75" s="28" t="s">
        <v>52</v>
      </c>
      <c r="C75" s="46">
        <v>-84</v>
      </c>
      <c r="D75" s="46">
        <v>-84</v>
      </c>
      <c r="E75" s="46">
        <v>-69</v>
      </c>
      <c r="F75" s="28" t="s">
        <v>52</v>
      </c>
      <c r="G75" s="28" t="s">
        <v>52</v>
      </c>
      <c r="H75" s="28" t="s">
        <v>52</v>
      </c>
      <c r="I75" s="28" t="s">
        <v>52</v>
      </c>
      <c r="J75" s="28" t="s">
        <v>52</v>
      </c>
      <c r="K75" s="28" t="s">
        <v>52</v>
      </c>
    </row>
    <row r="76" spans="1:11" ht="15" customHeight="1" outlineLevel="1" x14ac:dyDescent="0.2">
      <c r="A76" s="31" t="s">
        <v>109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</row>
    <row r="77" spans="1:11" ht="15" customHeight="1" outlineLevel="2" x14ac:dyDescent="0.2">
      <c r="A77" s="29" t="s">
        <v>108</v>
      </c>
      <c r="B77" s="28" t="s">
        <v>52</v>
      </c>
      <c r="C77" s="28" t="s">
        <v>52</v>
      </c>
      <c r="D77" s="28" t="s">
        <v>52</v>
      </c>
      <c r="E77" s="28" t="s">
        <v>52</v>
      </c>
      <c r="F77" s="28" t="s">
        <v>52</v>
      </c>
      <c r="G77" s="28" t="s">
        <v>52</v>
      </c>
      <c r="H77" s="28" t="s">
        <v>52</v>
      </c>
      <c r="I77" s="28" t="s">
        <v>52</v>
      </c>
      <c r="J77" s="28" t="s">
        <v>52</v>
      </c>
      <c r="K77" s="28" t="s">
        <v>52</v>
      </c>
    </row>
    <row r="78" spans="1:11" ht="15" customHeight="1" outlineLevel="2" x14ac:dyDescent="0.2">
      <c r="A78" s="25" t="s">
        <v>107</v>
      </c>
      <c r="B78" s="24" t="s">
        <v>52</v>
      </c>
      <c r="C78" s="24" t="s">
        <v>52</v>
      </c>
      <c r="D78" s="24" t="s">
        <v>52</v>
      </c>
      <c r="E78" s="24" t="s">
        <v>52</v>
      </c>
      <c r="F78" s="24" t="s">
        <v>52</v>
      </c>
      <c r="G78" s="24" t="s">
        <v>52</v>
      </c>
      <c r="H78" s="24" t="s">
        <v>52</v>
      </c>
      <c r="I78" s="24" t="s">
        <v>52</v>
      </c>
      <c r="J78" s="24" t="s">
        <v>52</v>
      </c>
      <c r="K78" s="24" t="s">
        <v>52</v>
      </c>
    </row>
    <row r="79" spans="1:11" ht="15" customHeight="1" outlineLevel="2" x14ac:dyDescent="0.2">
      <c r="A79" s="29" t="s">
        <v>106</v>
      </c>
      <c r="B79" s="28" t="s">
        <v>52</v>
      </c>
      <c r="C79" s="28" t="s">
        <v>52</v>
      </c>
      <c r="D79" s="28" t="s">
        <v>52</v>
      </c>
      <c r="E79" s="28" t="s">
        <v>52</v>
      </c>
      <c r="F79" s="28" t="s">
        <v>52</v>
      </c>
      <c r="G79" s="28" t="s">
        <v>52</v>
      </c>
      <c r="H79" s="28" t="s">
        <v>52</v>
      </c>
      <c r="I79" s="28" t="s">
        <v>52</v>
      </c>
      <c r="J79" s="28" t="s">
        <v>52</v>
      </c>
      <c r="K79" s="28" t="s">
        <v>52</v>
      </c>
    </row>
    <row r="80" spans="1:11" ht="15" customHeight="1" outlineLevel="2" x14ac:dyDescent="0.2">
      <c r="A80" s="25" t="s">
        <v>105</v>
      </c>
      <c r="B80" s="24" t="s">
        <v>52</v>
      </c>
      <c r="C80" s="24" t="s">
        <v>52</v>
      </c>
      <c r="D80" s="24" t="s">
        <v>52</v>
      </c>
      <c r="E80" s="24" t="s">
        <v>52</v>
      </c>
      <c r="F80" s="24" t="s">
        <v>52</v>
      </c>
      <c r="G80" s="24" t="s">
        <v>52</v>
      </c>
      <c r="H80" s="24" t="s">
        <v>52</v>
      </c>
      <c r="I80" s="24" t="s">
        <v>52</v>
      </c>
      <c r="J80" s="24" t="s">
        <v>52</v>
      </c>
      <c r="K80" s="24" t="s">
        <v>52</v>
      </c>
    </row>
    <row r="81" spans="1:11" ht="15" customHeight="1" outlineLevel="2" x14ac:dyDescent="0.2">
      <c r="A81" s="29" t="s">
        <v>104</v>
      </c>
      <c r="B81" s="28" t="s">
        <v>52</v>
      </c>
      <c r="C81" s="28" t="s">
        <v>52</v>
      </c>
      <c r="D81" s="28" t="s">
        <v>52</v>
      </c>
      <c r="E81" s="28" t="s">
        <v>52</v>
      </c>
      <c r="F81" s="28" t="s">
        <v>52</v>
      </c>
      <c r="G81" s="28" t="s">
        <v>52</v>
      </c>
      <c r="H81" s="28" t="s">
        <v>52</v>
      </c>
      <c r="I81" s="28" t="s">
        <v>52</v>
      </c>
      <c r="J81" s="28" t="s">
        <v>52</v>
      </c>
      <c r="K81" s="28" t="s">
        <v>52</v>
      </c>
    </row>
    <row r="82" spans="1:11" ht="15" customHeight="1" outlineLevel="2" x14ac:dyDescent="0.2">
      <c r="A82" s="25" t="s">
        <v>103</v>
      </c>
      <c r="B82" s="24" t="s">
        <v>52</v>
      </c>
      <c r="C82" s="24" t="s">
        <v>52</v>
      </c>
      <c r="D82" s="24" t="s">
        <v>52</v>
      </c>
      <c r="E82" s="24" t="s">
        <v>52</v>
      </c>
      <c r="F82" s="24" t="s">
        <v>52</v>
      </c>
      <c r="G82" s="24" t="s">
        <v>52</v>
      </c>
      <c r="H82" s="24" t="s">
        <v>52</v>
      </c>
      <c r="I82" s="24" t="s">
        <v>52</v>
      </c>
      <c r="J82" s="24" t="s">
        <v>52</v>
      </c>
      <c r="K82" s="24" t="s">
        <v>52</v>
      </c>
    </row>
    <row r="83" spans="1:11" ht="15" customHeight="1" x14ac:dyDescent="0.2">
      <c r="A83" s="21" t="s">
        <v>102</v>
      </c>
    </row>
  </sheetData>
  <hyperlinks>
    <hyperlink ref="B10" r:id="rId1" display="fdsup://factset/Doc Viewer Single?float_window=true&amp;positioning_strategy=center_on_screen&amp;_doc_docfn=U2FsdGVkX1/40l6Aq3Gwl+902ZoAZ9AIAvytMEIUJhVB7g4bXQ7juv9hvFGehjz+ov58UzAoIl+nCZGsLVh1CWLCcaaJsWs8YvKdmqv3r/w=&amp;_app_id=central_doc_viewer&amp;center_on_screen=true&amp;width=950&amp;height=800&amp;_dd2=%26f%3Dsld%26c%3Dtrue%26os%3D400560%26oe%3D400566" xr:uid="{6D1BAF58-ACD5-4CBD-B580-DD6E08B9C691}"/>
    <hyperlink ref="C10" r:id="rId2" display="fdsup://factset/Doc Viewer Single?float_window=true&amp;positioning_strategy=center_on_screen&amp;_doc_docfn=U2FsdGVkX1+sy9Jv528IBBmnjymLc1dyJzVEBW1n2nBWI4oLbhqz8HebBg0xvHX9t7LDnOUYb1k2zWTRZCNcMrqDb+xy3NlnnSxKoVV0ipc=&amp;_app_id=central_doc_viewer&amp;center_on_screen=true&amp;width=950&amp;height=800&amp;_dd2=%26f%3Dsld%26c%3Dtrue%26os%3D180539%26oe%3D180545" xr:uid="{32EC2A7E-B11B-4039-8FE7-E8359A990F97}"/>
    <hyperlink ref="D10" r:id="rId3" display="fdsup://factset/Doc Viewer Single?float_window=true&amp;positioning_strategy=center_on_screen&amp;_doc_docfn=U2FsdGVkX19gQo8do6fce2IbAiw95Boxp8vwvRCqBkGuLQ1U1mKYc21wyTVH83bswNQvvOgJsOidgKed8cvbnnxQURqEfr+WwDjs/QH1S+Y=&amp;_app_id=central_doc_viewer&amp;center_on_screen=true&amp;width=950&amp;height=800&amp;_dd2=%26f%3Dsld%26c%3Dtrue%26os%3D151259%26oe%3D151265" xr:uid="{EBCDC9E3-7464-4545-B88E-8AB32A5BA5F1}"/>
    <hyperlink ref="E10" r:id="rId4" display="fdsup://factset/Doc Viewer Single?float_window=true&amp;positioning_strategy=center_on_screen&amp;_doc_docfn=U2FsdGVkX19uGrfJemzH3VEsFfgMBlfsrrVvplG8KbdUcUDDmZjmU+ZJ1JYC9PthpZd+Qvmve9s2Q6u2H9ca/EfGBWE9spXzDzwrjCrP324=&amp;_app_id=central_doc_viewer&amp;center_on_screen=true&amp;width=950&amp;height=800&amp;_dd2=%26f%3Dsld%26c%3Dtrue%26os%3D141172%26oe%3D141178" xr:uid="{B298519E-472B-44D3-BD32-54BA9B3140BD}"/>
    <hyperlink ref="F10" r:id="rId5" display="fdsup://factset/Doc Viewer Single?float_window=true&amp;positioning_strategy=center_on_screen&amp;_doc_docfn=U2FsdGVkX1+Rb4e6gH545rAQM1jMdEw0YOzMUjqoQRKxvAMiErsUiOJHlV3GiP3+5LYxka7hNkIqq/4OkCbYMwOUtQe0npAUT5UsOTsjVtE=&amp;_app_id=central_doc_viewer&amp;center_on_screen=true&amp;width=950&amp;height=800&amp;_dd2=%26f%3Dsld%26c%3Dtrue%26os%3D247556%26oe%3D247562" xr:uid="{172C5163-AD34-4FE3-A959-550AC07D5B45}"/>
    <hyperlink ref="G10" r:id="rId6" display="fdsup://factset/Doc Viewer Single?float_window=true&amp;positioning_strategy=center_on_screen&amp;_doc_docfn=U2FsdGVkX1/gTegxkwoNOrdl/G+XW3X76kTo0bZvwJVtiNUFPBa5ix1LtxmeJ04EtkCdQov/VjuaTXEs7Em9gSjEbOA1j4hkWBizNrfY3XE=&amp;_app_id=central_doc_viewer&amp;center_on_screen=true&amp;width=950&amp;height=800&amp;_dd2=%26f%3Dsld%26c%3Dtrue%26os%3D375111%26oe%3D375117" xr:uid="{2B3561BA-575A-40C2-A3D6-3D786B924255}"/>
    <hyperlink ref="H10" r:id="rId7" display="fdsup://factset/Doc Viewer Single?float_window=true&amp;positioning_strategy=center_on_screen&amp;_doc_docfn=U2FsdGVkX1+YvfnXJ/qsQvDQxg+1cQPECzvL502MWOXZxni2oSA7gBe5IH/pzH4uwmUM8ylhKXUHXaJDP6FyGcKdJCzCB2b91azF8KQnPRM=&amp;_app_id=central_doc_viewer&amp;center_on_screen=true&amp;width=950&amp;height=800&amp;_dd2=%26f%3Dsld%26c%3Dtrue%26os%3D234229%26oe%3D234235" xr:uid="{B945893F-4F0C-4408-823A-98A86174A7CD}"/>
    <hyperlink ref="I10" r:id="rId8" display="fdsup://factset/Doc Viewer Single?float_window=true&amp;positioning_strategy=center_on_screen&amp;_doc_docfn=U2FsdGVkX1+i6UH/+0W9jysBhFXEoHDsVGEeK4XzraRTaHOiSv67X5Pc6cIMUmOxNXzb6DpvncqU6LSrNTEfkuhhD0AWeBUyo4w67JjOx4A=&amp;_app_id=central_doc_viewer&amp;center_on_screen=true&amp;width=950&amp;height=800&amp;_dd2=%26f%3Dsld%26c%3Dtrue%26os%3D232884%26oe%3D232890" xr:uid="{F76AAE3F-5D38-40BC-AFEA-CB38A7D83E25}"/>
    <hyperlink ref="J10" r:id="rId9" display="fdsup://factset/Doc Viewer Single?float_window=true&amp;positioning_strategy=center_on_screen&amp;_doc_docfn=U2FsdGVkX19JNnLTD8YQ7G+xn5/RkRmyi0wGYpzYkZEQuyzx7A3RsJUH+RVjSzsYTXtiQiJrwJ/ze+RsM943cvfagIgItaeJvEymhFNcDrI=&amp;_app_id=central_doc_viewer&amp;center_on_screen=true&amp;width=950&amp;height=800&amp;_dd2=%26f%3Dsld%26c%3Dtrue%26os%3D230334%26oe%3D230341" xr:uid="{F0789938-BCEC-42D4-A007-86CA9E5313EE}"/>
    <hyperlink ref="K10" r:id="rId10" display="fdsup://factset/Doc Viewer Single?float_window=true&amp;positioning_strategy=center_on_screen&amp;_doc_docfn=U2FsdGVkX19E/cGyfsxkaqQcTP1LexvfltId6XtkGizJ0Eac431nmCFXctE6M2YrXGOP11hqwI4d45AYYI7oAj8rF21z1sH8nQIA1jrLKeg=&amp;_app_id=central_doc_viewer&amp;center_on_screen=true&amp;width=950&amp;height=800&amp;_dd2=%26f%3Dsld%26c%3Dtrue%26os%3D232897%26oe%3D232904" xr:uid="{3BF4E4C7-5C78-47C0-B751-10B4400C5294}"/>
    <hyperlink ref="B11" r:id="rId11" display="fdsup://factset/Doc Viewer Single?float_window=true&amp;positioning_strategy=center_on_screen&amp;_doc_docfn=U2FsdGVkX18T+oL9KjnAZRt2vmDxSOaakvCvV8Fbh3MEqJgpOx3dZ1TFPZSa/RpEwZsidp3rYgsXjLdWrBxPOaKJ65bpvPg1RHSpzQRd3vg=&amp;_app_id=central_doc_viewer&amp;center_on_screen=true&amp;width=950&amp;height=800&amp;_dd2=%26f%3Dsld%26c%3Dtrue%26os%3D354593%26oe%3D354599" xr:uid="{ED62E901-C9F6-437A-93E3-BE39EE27DE56}"/>
    <hyperlink ref="C11" r:id="rId12" display="fdsup://factset/Doc Viewer Single?float_window=true&amp;positioning_strategy=center_on_screen&amp;_doc_docfn=U2FsdGVkX1/lSM2Dg/AUMXiDX/4atYmM44034vsLzJIB9FCWpngXFQDdLhZALjnU8/eHPf3njx0sU2bFTfII1AToneeCZJc6DmURNZhMlX0=&amp;_app_id=central_doc_viewer&amp;center_on_screen=true&amp;width=950&amp;height=800&amp;_dd2=%26f%3Dsld%26c%3Dtrue%26os%3D167514%26oe%3D167520" xr:uid="{7CDF3008-1414-4411-9E33-2F7BBD9E8A42}"/>
    <hyperlink ref="D11" r:id="rId13" display="fdsup://factset/Doc Viewer Single?float_window=true&amp;positioning_strategy=center_on_screen&amp;_doc_docfn=U2FsdGVkX1/W2/gbGBoKsFtqT71y6UCpgrb86v/8lAlOKm0hdKm2nm9EipcN83HHzYQtfvU4dWKpNKIKBV2mHt/8ZJoDCsdAvSasECjR4C4=&amp;_app_id=central_doc_viewer&amp;center_on_screen=true&amp;width=950&amp;height=800&amp;_dd2=%26f%3Dsld%26c%3Dtrue%26os%3D139179%26oe%3D139185" xr:uid="{57671F85-91F1-495A-80CA-2BF017BC8987}"/>
    <hyperlink ref="E11" r:id="rId14" display="fdsup://factset/Doc Viewer Single?float_window=true&amp;positioning_strategy=center_on_screen&amp;_doc_docfn=U2FsdGVkX1/cacKj9iwyFUTpGkU1xWvsRxbco4jqdwFvWWGx89q3Hznv+XRJWQAukAphUMnkDSnobN5DVmG+QYMmDdZ0SPCB91UGY7f4Qyk=&amp;_app_id=central_doc_viewer&amp;center_on_screen=true&amp;width=950&amp;height=800&amp;_dd2=%26f%3Dsld%26c%3Dtrue%26os%3D129100%26oe%3D129106" xr:uid="{865DF4FA-070F-481B-A71F-F2B8D36E58CE}"/>
    <hyperlink ref="F11" r:id="rId15" display="fdsup://factset/Doc Viewer Single?float_window=true&amp;positioning_strategy=center_on_screen&amp;_doc_docfn=U2FsdGVkX1+vHaZqYGsIEziDsMgF0YvMAHKKebRIjoDkmxSjM47w6Ropfgs7hu6LzHeo5cYhRX6Z6AE/NIq0K/urTIciSF8S+5GyXsj93Vg=&amp;_app_id=central_doc_viewer&amp;center_on_screen=true&amp;width=950&amp;height=800&amp;_dd2=%26f%3Dsld%26c%3Dtrue%26os%3D236332%26oe%3D236338" xr:uid="{CF8BE06D-21C4-4B09-93D5-1E3623BE35A7}"/>
    <hyperlink ref="G11" r:id="rId16" display="fdsup://factset/Doc Viewer Single?float_window=true&amp;positioning_strategy=center_on_screen&amp;_doc_docfn=U2FsdGVkX18hqb4pr8rQxJ8FcbjR4BKtfIdjZkISb4eDDjRW54g0ZUPviAsqtZQq0zuj+L9FEyUU+0tS/Pe5tS1z5LlgBKdtPLZK7GJeIog=&amp;_app_id=central_doc_viewer&amp;center_on_screen=true&amp;width=950&amp;height=800&amp;_dd2=%26f%3Dsld%26c%3Dtrue%26os%3D363874%26oe%3D363880" xr:uid="{EA493D8E-FFFC-4AD5-A8A6-C7878EDEC58E}"/>
    <hyperlink ref="H11" r:id="rId17" display="fdsup://factset/Doc Viewer Single?float_window=true&amp;positioning_strategy=center_on_screen&amp;_doc_docfn=U2FsdGVkX1+Pu4fK96gSlxwYb0fJ0EZn0uaVYlDamq9pdZp5IREdl04CAbsQV/Q36uO1rXMgDMXLF5JYyfuC508Du+hhjvqywp7nwMQR5XM=&amp;_app_id=central_doc_viewer&amp;center_on_screen=true&amp;width=950&amp;height=800&amp;_dd2=%26f%3Dsld%26c%3Dtrue%26os%3D222986%26oe%3D222994" xr:uid="{83DDE8D3-9B98-459B-93ED-3E5BC2BA9929}"/>
    <hyperlink ref="I11" r:id="rId18" display="fdsup://factset/Doc Viewer Single?float_window=true&amp;positioning_strategy=center_on_screen&amp;_doc_docfn=U2FsdGVkX1+qznSMB5/EYTaWq3G8eAgF4L0s3xtJMUUWW+Hd1w0+uv/zNOtE+0rlmRfXT71NnOOHHiA+XrvPMjIVPnHB/29vdL0zMk8jyMU=&amp;_app_id=central_doc_viewer&amp;center_on_screen=true&amp;width=950&amp;height=800&amp;_dd2=%26f%3Dsld%26c%3Dtrue%26os%3D221626%26oe%3D221632" xr:uid="{2FBC9AA8-07BE-4817-9E1E-E8BBA75DE0DC}"/>
    <hyperlink ref="J11" r:id="rId19" display="fdsup://factset/Doc Viewer Single?float_window=true&amp;positioning_strategy=center_on_screen&amp;_doc_docfn=U2FsdGVkX184Pe1QqKnZi+hfWzePG8bwbtocMLTjQ4hW0kaUwkT1BHNIxrVCy+mb4nz9K7Qe876508a/8BRAqQbBcgNsH2By8FpP7UEvzYs=&amp;_app_id=central_doc_viewer&amp;center_on_screen=true&amp;width=950&amp;height=800&amp;_dd2=%26f%3Dsld%26c%3Dtrue%26os%3D220026%26oe%3D220032" xr:uid="{C830D47A-7E6A-4673-9304-A86BDA638D26}"/>
    <hyperlink ref="K11" r:id="rId20" display="fdsup://factset/Doc Viewer Single?float_window=true&amp;positioning_strategy=center_on_screen&amp;_doc_docfn=U2FsdGVkX19+sxM/fk4Jv6fKS4k1RaeWU3CB7QF2KFrGg4GkvItiLEEgdczIPul4W3WSfr6Vp5ns3P04Grkx1cQV4/cJmhVfDWp425plggg=&amp;_app_id=central_doc_viewer&amp;center_on_screen=true&amp;width=950&amp;height=800&amp;_dd2=%26f%3Dsld%26c%3Dtrue%26os%3D222580%26oe%3D222587" xr:uid="{679E032D-99BD-4C7D-AFB1-6C35DEE037C8}"/>
    <hyperlink ref="B13" r:id="rId21" display="fdsup://factset/Doc Viewer Single?float_window=true&amp;positioning_strategy=center_on_screen&amp;_doc_docfn=U2FsdGVkX19J5gZQt7EtYkJYL25IO3fOKAH6a0t+a010rQgydJCYs4cJmr2vc5ZkhLZ9BNwyWpAvoHpyAIXvzN7fuAw8zK8q+zVdBJb/UYM=&amp;_app_id=central_doc_viewer&amp;center_on_screen=true&amp;width=950&amp;height=800&amp;_dd2=%26f%3Dsld%26c%3Dtrue%26os%3D359058%26oe%3D359063" xr:uid="{CFFC5E66-62D5-4969-8136-6DC2D9E4588E}"/>
    <hyperlink ref="C13" r:id="rId22" display="fdsup://factset/Doc Viewer Single?float_window=true&amp;positioning_strategy=center_on_screen&amp;_doc_docfn=U2FsdGVkX19bGG93OMNWsx8VDNlaLMgl6Ow86wVJIAAYQ4J1Qrty5YbwTrYj6O/gBp7ccH/sTI9B5xd6Yai3sdNqpdCuPucEOhNK4rfg7Us=&amp;_app_id=central_doc_viewer&amp;center_on_screen=true&amp;width=950&amp;height=800&amp;_dd2=%26f%3Dsld%26c%3Dtrue%26os%3D168699%26oe%3D168704" xr:uid="{05975A44-375C-44BF-9F34-F4B0B993958B}"/>
    <hyperlink ref="D13" r:id="rId23" display="fdsup://factset/Doc Viewer Single?float_window=true&amp;positioning_strategy=center_on_screen&amp;_doc_docfn=U2FsdGVkX197xd4fevaPG3uJ3GUSTUjeEpgASa1ql4lFRhbAJ7O86wKU9UQa//Er/xVNrW1y/srr0LTwtZeC0PNjXC/D8voPWhj4LxyiDXo=&amp;_app_id=central_doc_viewer&amp;center_on_screen=true&amp;width=950&amp;height=800&amp;_dd2=%26f%3Dsld%26c%3Dtrue%26os%3D140364%26oe%3D140369" xr:uid="{40AF3CF5-A517-44E1-BD7B-F771E2F6366C}"/>
    <hyperlink ref="E13" r:id="rId24" display="fdsup://factset/Doc Viewer Single?float_window=true&amp;positioning_strategy=center_on_screen&amp;_doc_docfn=U2FsdGVkX1+QBe+TXfNehp0urdkRazN8JocwRTiC55jAzgORhwIgFh6ng5z3zQQG2MeVEtygVZ2f/tRGgqdj/LIPWkYsJxQ/3AzW4LYlhNI=&amp;_app_id=central_doc_viewer&amp;center_on_screen=true&amp;width=950&amp;height=800&amp;_dd2=%26f%3Dsld%26c%3Dtrue%26os%3D130285%26oe%3D130290" xr:uid="{70124952-A2A9-46E8-BC28-EF462B540178}"/>
    <hyperlink ref="F13" r:id="rId25" display="fdsup://factset/Doc Viewer Single?float_window=true&amp;positioning_strategy=center_on_screen&amp;_doc_docfn=U2FsdGVkX1+IHnnqybArqqVW5UfDJHxA2KUpPy2z8ZwRGSndzFNly6Cvi6TsXlyJ24b5re76jizvCh+y3wXpeNcRMgFOON/g12iPTLjv45E=&amp;_app_id=central_doc_viewer&amp;center_on_screen=true&amp;width=950&amp;height=800&amp;_dd2=%26f%3Dsld%26c%3Dtrue%26os%3D237421%26oe%3D237427" xr:uid="{165FB012-0589-4CB1-859C-950794A6ACB8}"/>
    <hyperlink ref="G13" r:id="rId26" display="fdsup://factset/Doc Viewer Single?float_window=true&amp;positioning_strategy=center_on_screen&amp;_doc_docfn=U2FsdGVkX1+6CkTpboUCM0Ph4pYdNSuklRKC2af2eVcvFHINa8l1h0ZUPUgzqOnGgtfPO7VOXEjF/P5KV2SqVKQR9Kc1DU2HQiAwBemoF10=&amp;_app_id=central_doc_viewer&amp;center_on_screen=true&amp;width=950&amp;height=800&amp;_dd2=%26f%3Dsld%26c%3Dtrue%26os%3D364963%26oe%3D364969" xr:uid="{4896A0FE-E6B2-4D8E-9430-939ACE62DCCF}"/>
    <hyperlink ref="H13" r:id="rId27" display="fdsup://factset/Doc Viewer Single?float_window=true&amp;positioning_strategy=center_on_screen&amp;_doc_docfn=U2FsdGVkX1827OtWMpzqp0KXtun3m964u/e1q674k/P1JKC73FOWLBYF6/ABnJFnGrPcBS/wlPnP63qmDUVZW/Mp9AyWph66n36Nhhr2FyE=&amp;_app_id=central_doc_viewer&amp;center_on_screen=true&amp;width=950&amp;height=800&amp;_dd2=%26f%3Dsld%26c%3Dtrue%26os%3D224075%26oe%3D224081" xr:uid="{7616C9DE-5AA2-457B-924B-730F992169F8}"/>
    <hyperlink ref="I13" r:id="rId28" display="fdsup://factset/Doc Viewer Single?float_window=true&amp;positioning_strategy=center_on_screen&amp;_doc_docfn=U2FsdGVkX1+Zf7bei7HFEyYKTOTvMu1L/r/4xG3LSMCN0gmfCnMSpk4SinKUzbqUKSteyOQqzewl2LFpZqBynNW1pjyLON2VSSJ0f6SuWGM=&amp;_app_id=central_doc_viewer&amp;center_on_screen=true&amp;width=950&amp;height=800&amp;_dd2=%26f%3Dsld%26c%3Dtrue%26os%3D222715%26oe%3D222721" xr:uid="{F4907E2D-70F1-4ABB-A0CC-70C160958B1F}"/>
    <hyperlink ref="J13" r:id="rId29" display="fdsup://factset/Doc Viewer Single?float_window=true&amp;positioning_strategy=center_on_screen&amp;_doc_docfn=U2FsdGVkX1/7LVeqOA6r3j7lDCdb1llKzBDEYZvqBdbfQ661id9tmk5fRI0I6bUNk5ianXXa8FsNVhl26BF3qAufHfBFoxVcfRgxHHZedF0=&amp;_app_id=central_doc_viewer&amp;center_on_screen=true&amp;width=950&amp;height=800&amp;_dd2=%26f%3Dsld%26c%3Dtrue%26os%3D221049%26oe%3D221055" xr:uid="{E4040B76-4C7E-450A-AFFD-82C6156C5E2D}"/>
    <hyperlink ref="K13" r:id="rId30" display="fdsup://factset/Doc Viewer Single?float_window=true&amp;positioning_strategy=center_on_screen&amp;_doc_docfn=U2FsdGVkX18V3MzzXtEQZ8JpUwBfg0Xc7Sl0+tB5JMoVBUFM+j5bm6K2uGUWMG7iArPVAsR6FGGQA6Io4sMrcNAaHDTQR8lHlq5H2dTua74=&amp;_app_id=central_doc_viewer&amp;center_on_screen=true&amp;width=950&amp;height=800&amp;_dd2=%26f%3Dsld%26c%3Dtrue%26os%3D223604%26oe%3D223610" xr:uid="{1B276C89-9136-45D9-8C27-6B524573E103}"/>
    <hyperlink ref="B14" r:id="rId31" display="fdsup://factset/Doc Viewer Single?float_window=true&amp;positioning_strategy=center_on_screen&amp;_doc_docfn=U2FsdGVkX1+r4mU0PLVdNvvICgwpbeBGyaADFS5iwUcDp7RuX6zm7Z9usoFqDtqkDAE5w5EWDgEUQCutIZYud9ZDdZ55tX/cwOQ+pz9h1Dw=&amp;_app_id=central_doc_viewer&amp;center_on_screen=true&amp;width=950&amp;height=800&amp;_dd2=%26f%3Dsld%26c%3Dtrue%26os%3D361737%26oe%3D361740" xr:uid="{1ECFEC5C-EE1F-42B1-9EE5-126B3B8614CE}"/>
    <hyperlink ref="C14" r:id="rId32" display="fdsup://factset/Doc Viewer Single?float_window=true&amp;positioning_strategy=center_on_screen&amp;_doc_docfn=U2FsdGVkX19E1IPnWqM394quOnzkMFOH5CISFvtGJE5AR8FIqCRxIXCcWNwdysqALMZB17BoEjGegBGip4HDfzBkC2vYTrZKSnSBlQ6zN5Q=&amp;_app_id=central_doc_viewer&amp;center_on_screen=true&amp;width=950&amp;height=800&amp;_dd2=%26f%3Dsld%26c%3Dtrue%26os%3D169584%26oe%3D169587" xr:uid="{29155951-FCC3-4786-9942-ECF81F10A778}"/>
    <hyperlink ref="D14" r:id="rId33" display="fdsup://factset/Doc Viewer Single?float_window=true&amp;positioning_strategy=center_on_screen&amp;_doc_docfn=U2FsdGVkX19E1ZuUJhV6vKFFih/2KyCSsN/B/lClANcmXZzg/1ma9ozNYOXJfr9KUIlxczyPegpLV9jfLg1IH+cGQfLHU4kU4EyV23KVUzg=&amp;_app_id=central_doc_viewer&amp;center_on_screen=true&amp;width=950&amp;height=800&amp;_dd2=%26f%3Dsld%26c%3Dtrue%26os%3D141249%26oe%3D141252" xr:uid="{EFAB1CE1-DBD5-4A1B-9D3A-DC1442FDAE96}"/>
    <hyperlink ref="E14" r:id="rId34" display="fdsup://factset/Doc Viewer Single?float_window=true&amp;positioning_strategy=center_on_screen&amp;_doc_docfn=U2FsdGVkX1+KYX2l0xIb3H5j1qUzzk50XK1npBNHfSGudoALR/6BHBM2ZkQ8poXyxZdQh0g3AYdLksAig8JiJ36EwpcygOSR+M66aU8rGW0=&amp;_app_id=central_doc_viewer&amp;center_on_screen=true&amp;width=950&amp;height=800&amp;_dd2=%26f%3Dsld%26c%3Dtrue%26os%3D131170%26oe%3D131173" xr:uid="{BF23C1BC-3DE3-4F04-8A11-BDCE77F9EE7F}"/>
    <hyperlink ref="F14" r:id="rId35" display="fdsup://factset/Doc Viewer Single?float_window=true&amp;positioning_strategy=center_on_screen&amp;_doc_docfn=U2FsdGVkX19eC6/k0kGh4WTUKLOWsDG1wJ4FJNsMC2we+/GyDPkxtCFFNayHze1E8z+bo9ln/Iag02UeBJ10t3xgdZbXEGfI2iMgOC1G2O4=&amp;_app_id=central_doc_viewer&amp;center_on_screen=true&amp;width=950&amp;height=800&amp;_dd2=%26f%3Dsld%26c%3Dtrue%26os%3D238251%26oe%3D238254" xr:uid="{1D3E27AE-B391-4C04-80A1-7C9B6723C344}"/>
    <hyperlink ref="G14" r:id="rId36" display="fdsup://factset/Doc Viewer Single?float_window=true&amp;positioning_strategy=center_on_screen&amp;_doc_docfn=U2FsdGVkX1+a7Nk8Vutxuaf6/CEfCyB2zKDxqesfFM7+xswjA3uCSDWpsFQl8xz9kOtUQv4hhUl6wtho/HEQbPMaONxw068FVFfOjyMBoXs=&amp;_app_id=central_doc_viewer&amp;center_on_screen=true&amp;width=950&amp;height=800&amp;_dd2=%26f%3Dsld%26c%3Dtrue%26os%3D365795%26oe%3D365798" xr:uid="{0BC7B81D-F8E9-493B-BF62-34F6627BC6D4}"/>
    <hyperlink ref="H14" r:id="rId37" display="fdsup://factset/Doc Viewer Single?float_window=true&amp;positioning_strategy=center_on_screen&amp;_doc_docfn=U2FsdGVkX193xoL2dD+HtidXuPWqx6tJoWRLJbXWjKDf8sWRJ38PkA2MbuKSRoppcdfT1NYj/D2gUvP43MYdtcX+RCPMhBnFbDZ2YDaa3Wo=&amp;_app_id=central_doc_viewer&amp;center_on_screen=true&amp;width=950&amp;height=800&amp;_dd2=%26f%3Dsld%26c%3Dtrue%26os%3D224909%26oe%3D224912" xr:uid="{913D61F6-F05A-413F-A3BA-9BB9FE00D32B}"/>
    <hyperlink ref="I14" r:id="rId38" display="fdsup://factset/Doc Viewer Single?float_window=true&amp;positioning_strategy=center_on_screen&amp;_doc_docfn=U2FsdGVkX1/QSygTfoNIa40MMe/8V9ZBc0msYJBeq/HXBJKC5XoibVuh1X2YzSrL6hfCvWwaJJhPwHKhOdhVH/QWBsPVN06iX7VF/Pq48Ts=&amp;_app_id=central_doc_viewer&amp;center_on_screen=true&amp;width=950&amp;height=800&amp;_dd2=%26f%3Dsld%26c%3Dtrue%26os%3D223549%26oe%3D223552" xr:uid="{BF549086-72AA-45A2-A0B5-547F7513904F}"/>
    <hyperlink ref="B15" r:id="rId39" display="fdsup://factset/Doc Viewer Single?float_window=true&amp;positioning_strategy=center_on_screen&amp;_doc_docfn=U2FsdGVkX1/R1SCmcMYzD9hqW7QvDkK8UJTxAK0CrcEkBQBKpXQ+2CkUMlA9vVWyVjox86fukyzybH8LP994QWvWA8QqhBBjh7YVquNhnac=&amp;_app_id=central_doc_viewer&amp;center_on_screen=true&amp;width=950&amp;height=800&amp;_dd2=%26f%3Dsld%26c%3Dtrue%26os%3D364152%26oe%3D364157" xr:uid="{4B8DA7C5-E11D-4CB8-A895-D98C3505972D}"/>
    <hyperlink ref="C15" r:id="rId40" display="fdsup://factset/Doc Viewer Single?float_window=true&amp;positioning_strategy=center_on_screen&amp;_doc_docfn=U2FsdGVkX19QP2CmyaTubbxzQn0y1STB1NzjdD2jZlfYuvPl4P0tSdKXvYn7RthsDiNWvynPfc4kZQGZAzUJUmeEc+KUzcZwiN2wL9McFTc=&amp;_app_id=central_doc_viewer&amp;center_on_screen=true&amp;width=950&amp;height=800&amp;_dd2=%26f%3Dsld%26c%3Dtrue%26os%3D170391%26oe%3D170396" xr:uid="{2D78D604-5E5E-4281-9552-97A939EAB059}"/>
    <hyperlink ref="D15" r:id="rId41" display="fdsup://factset/Doc Viewer Single?float_window=true&amp;positioning_strategy=center_on_screen&amp;_doc_docfn=U2FsdGVkX19nAlSx0EUvrAy30lFQUEPK32RIT+1e3T2C7Kc0St9sTXt2NwD5mzDMCYn1EGC4QnQFyPWqRUxXF16Qa+LmNlbX1mhMWslp5nY=&amp;_app_id=central_doc_viewer&amp;center_on_screen=true&amp;width=950&amp;height=800&amp;_dd2=%26f%3Dsld%26c%3Dtrue%26os%3D142053%26oe%3D142058" xr:uid="{66AC7256-D887-4088-82AB-514ECE4D1685}"/>
    <hyperlink ref="E15" r:id="rId42" display="fdsup://factset/Doc Viewer Single?float_window=true&amp;positioning_strategy=center_on_screen&amp;_doc_docfn=U2FsdGVkX19fw+aYzPf7YyZoUJzvJlhuCn41KCyA9eUn1tGdXQiqC8QYmU8XNzbiJv6375c/WtU6gf13tGSFS7drhGkm1zrS53z62bXJNU0=&amp;_app_id=central_doc_viewer&amp;center_on_screen=true&amp;width=950&amp;height=800&amp;_dd2=%26f%3Dsld%26c%3Dtrue%26os%3D131974%26oe%3D131979" xr:uid="{707A232D-8A32-4DF6-9995-7B26F8B962C5}"/>
    <hyperlink ref="F15" r:id="rId43" display="fdsup://factset/Doc Viewer Single?float_window=true&amp;positioning_strategy=center_on_screen&amp;_doc_docfn=U2FsdGVkX1/gOs0OwMPcVU4xyxvy4kkwqbeozdfSH/7VgnqXcLaA83crlvlR140MTUZ7CnDKlsaEb/T3YD8kZ1yY2R6/goxMFASr81222uk=&amp;_app_id=central_doc_viewer&amp;center_on_screen=true&amp;width=950&amp;height=800&amp;_dd2=%26f%3Dsld%26c%3Dtrue%26os%3D239000%26oe%3D239006" xr:uid="{8C4FBC26-B8B7-450A-B415-6DA328AAA5E0}"/>
    <hyperlink ref="G15" r:id="rId44" display="fdsup://factset/Doc Viewer Single?float_window=true&amp;positioning_strategy=center_on_screen&amp;_doc_docfn=U2FsdGVkX18RbXixGCuWvGPCASK6XKNlng4Ni4dcf7/YgU209gS0xsmOgB5E3Xb5nljOlxPWyrkL5P+zq35Z3pOyLO+nLjt02OPKtGrxReY=&amp;_app_id=central_doc_viewer&amp;center_on_screen=true&amp;width=950&amp;height=800&amp;_dd2=%26f%3Dsld%26c%3Dtrue%26os%3D366544%26oe%3D366550" xr:uid="{5BC64E5C-C4F5-4D0E-B0A6-83D515627834}"/>
    <hyperlink ref="H15" r:id="rId45" display="fdsup://factset/Doc Viewer Single?float_window=true&amp;positioning_strategy=center_on_screen&amp;_doc_docfn=U2FsdGVkX19tgg2+yjrDxUHrQGfh1trRaEgE/bGuJiVZ8ADZF1cEdqSt8mBcurEVnbQVFGfc38WZmAa+52aOgjnWGwDJ3JCpub+17kSnvQQ=&amp;_app_id=central_doc_viewer&amp;center_on_screen=true&amp;width=950&amp;height=800&amp;_dd2=%26f%3Dsld%26c%3Dtrue%26os%3D225658%26oe%3D225664" xr:uid="{B6515312-3719-439A-B1A5-FCD20E6AC8CE}"/>
    <hyperlink ref="I15" r:id="rId46" display="fdsup://factset/Doc Viewer Single?float_window=true&amp;positioning_strategy=center_on_screen&amp;_doc_docfn=U2FsdGVkX19fwe31L5Gtqgbsf65ksKzkTDu86SNufBeNfI2fh2p3wNI3kA64DpHSrgNHzOWVizXUEZixQY+XF49StRd2T4Z+k2btJUvhSto=&amp;_app_id=central_doc_viewer&amp;center_on_screen=true&amp;width=950&amp;height=800&amp;_dd2=%26f%3Dsld%26c%3Dtrue%26os%3D224298%26oe%3D224304" xr:uid="{FDE856E1-46FE-4490-B2EF-F03439EED01D}"/>
    <hyperlink ref="J15" r:id="rId47" display="fdsup://factset/Doc Viewer Single?float_window=true&amp;positioning_strategy=center_on_screen&amp;_doc_docfn=U2FsdGVkX1+IJ0WmOLb9E25ZNIHo8fVaYECSn3Tlk3p/ZIY3x9XgaejSPDM2s/OUIBU3toVlO5r+JA/BxNaDw17bR95OswZsQH/YuTUdtV4=&amp;_app_id=central_doc_viewer&amp;center_on_screen=true&amp;width=950&amp;height=800&amp;_dd2=%26f%3Dsld%26c%3Dtrue%26os%3D221755%26oe%3D221761" xr:uid="{A35B0CE0-CCA9-419D-AE52-CB17F49CBE96}"/>
    <hyperlink ref="K15" r:id="rId48" display="fdsup://factset/Doc Viewer Single?float_window=true&amp;positioning_strategy=center_on_screen&amp;_doc_docfn=U2FsdGVkX18FxHBX5UkecmeRWR4rDirAskdB0Dx6qGNmZDu/g+G0dqRbg8EWVv/mv18KXOfLaz43Bg3blGl1nZ/yXU7OPbfyjW+DvuqrWSo=&amp;_app_id=central_doc_viewer&amp;center_on_screen=true&amp;width=950&amp;height=800&amp;_dd2=%26f%3Dsld%26c%3Dtrue%26os%3D224310%26oe%3D224316" xr:uid="{A2BD8657-52F9-4E13-AFA7-8D26BFDA8813}"/>
    <hyperlink ref="B16" r:id="rId49" display="fdsup://factset/Doc Viewer Single?float_window=true&amp;positioning_strategy=center_on_screen&amp;_doc_docfn=U2FsdGVkX1+DAJjO/We8CRHDtOYPUD9F8rAZsKBkSQ56IqSX63AP/gMRrX3oBP2AMaFt8Yev9L2mDmHBuaySbZwsDU0RiAdFm3X7v3jVcJs=&amp;_app_id=central_doc_viewer&amp;center_on_screen=true&amp;width=950&amp;height=800&amp;_dd2=%26f%3Dsld%26c%3Dtrue%26os%3D366975%26oe%3D366980" xr:uid="{AB5A0F95-19F2-4D40-8F30-0092FA9241E5}"/>
    <hyperlink ref="B18" r:id="rId50" display="fdsup://factset/Doc Viewer Single?float_window=true&amp;positioning_strategy=center_on_screen&amp;_doc_docfn=U2FsdGVkX1/AMYPE03J3gcyx/D4Y4Di+itPOoP6v0YiQOsvg61r7fwUc7ecMXuvWTlLW8fvq4AJWxxqj0Rj8Fuja6Q+kGCDszfqLC9Hwyxw=&amp;_app_id=central_doc_viewer&amp;center_on_screen=true&amp;width=950&amp;height=800&amp;_dd2=%26f%3Dsld%26c%3Dtrue%26os%3D369467%26oe%3D369472" xr:uid="{E72A3008-86E5-4A42-8006-E51E0693CFBE}"/>
    <hyperlink ref="C18" r:id="rId51" display="fdsup://factset/Doc Viewer Single?float_window=true&amp;positioning_strategy=center_on_screen&amp;_doc_docfn=U2FsdGVkX1+qLnqCE/4yEbz/HKbAAkr56alaSN71mbg/vBBEGDWMluw6AvVPZnPMWPk29XMCZzHhI0CdsQBHecewv0KlhUn+s6anBXfKrDs=&amp;_app_id=central_doc_viewer&amp;center_on_screen=true&amp;width=950&amp;height=800&amp;_dd2=%26f%3Dsld%26c%3Dtrue%26os%3D171164%26oe%3D171168" xr:uid="{FF23AB4F-FFC8-4B69-9C18-B8EE46EE5703}"/>
    <hyperlink ref="D18" r:id="rId52" display="fdsup://factset/Doc Viewer Single?float_window=true&amp;positioning_strategy=center_on_screen&amp;_doc_docfn=U2FsdGVkX19hwlZ2zAWj5TVYKuTRiFqGhnHyo/cOgpRC03pEAArkYF3sNDY3Dy3y1F3fKfuEtI4GZdcqu4fjRIh5o05KlHCaKBWYtETrHNM=&amp;_app_id=central_doc_viewer&amp;center_on_screen=true&amp;width=950&amp;height=800&amp;_dd2=%26f%3Dsld%26c%3Dtrue%26os%3D142827%26oe%3D142830" xr:uid="{0139828A-6B62-47DC-92F4-B3F29EDB4A2D}"/>
    <hyperlink ref="E18" r:id="rId53" display="fdsup://factset/Doc Viewer Single?float_window=true&amp;positioning_strategy=center_on_screen&amp;_doc_docfn=U2FsdGVkX1/Anp7Ta/3xfrhJuLL2YGygPkGRB7sWvLjhgi6mIBpiD6OOZAyJiftq23EEj5v8dNgJ+bq5FUtP4Tse2cOcL0kA8PaMfEbl0lM=&amp;_app_id=central_doc_viewer&amp;center_on_screen=true&amp;width=950&amp;height=800&amp;_dd2=%26f%3Dsld%26c%3Dtrue%26os%3D132748%26oe%3D132751" xr:uid="{68A7531D-EC09-431A-8481-A9ED1EB7194E}"/>
    <hyperlink ref="F18" r:id="rId54" display="fdsup://factset/Doc Viewer Single?float_window=true&amp;positioning_strategy=center_on_screen&amp;_doc_docfn=U2FsdGVkX18nmq5YTDvyCowtiUaYTMCVV+DJNqPGa8VCSAHGS16Gd+KXGp9iolXKtX9pZgUMK4rFK8DuInKhHU6eND7gW9T7Ps8PF8M8yTw=&amp;_app_id=central_doc_viewer&amp;center_on_screen=true&amp;width=950&amp;height=800&amp;_dd2=%26f%3Dsld%26c%3Dtrue%26os%3D239719%26oe%3D239722" xr:uid="{65F8B051-BC7C-4E4E-AD4F-A89A07D20B3D}"/>
    <hyperlink ref="G18" r:id="rId55" display="fdsup://factset/Doc Viewer Single?float_window=true&amp;positioning_strategy=center_on_screen&amp;_doc_docfn=U2FsdGVkX1/FE/XlYvhKCs2/qBjOaTuG4qEEnjAmukflucjYX+lk9idumjwnj0cxEpUKC8yQ39LP3NYVLTGh/i7Cr+LlgBvWjeNNb0gNu3E=&amp;_app_id=central_doc_viewer&amp;center_on_screen=true&amp;width=950&amp;height=800&amp;_dd2=%26f%3Dsld%26c%3Dtrue%26os%3D367266%26oe%3D367271" xr:uid="{42A0F369-3511-4BA3-B238-D72DF571584A}"/>
    <hyperlink ref="H18" r:id="rId56" display="fdsup://factset/Doc Viewer Single?float_window=true&amp;positioning_strategy=center_on_screen&amp;_doc_docfn=U2FsdGVkX19Ivf9V7ZBZnPVLu44oZ7vzBx2y4wf6KeEwUr5KEcu9Lvk6D8Uogh6z+bPScuWEBq9uWrunz5eURVxb8gE1bJ7Q9BRxniT8xB4=&amp;_app_id=central_doc_viewer&amp;center_on_screen=true&amp;width=950&amp;height=800&amp;_dd2=%26f%3Dsld%26c%3Dtrue%26os%3D226382%26oe%3D226387" xr:uid="{ADF92FFF-EDAF-4C1C-BD03-3EC0F76C91E1}"/>
    <hyperlink ref="I18" r:id="rId57" display="fdsup://factset/Doc Viewer Single?float_window=true&amp;positioning_strategy=center_on_screen&amp;_doc_docfn=U2FsdGVkX1/DrSIRglcodNaAHxvbL1pGw1iZPdT8dEsRqX/igd8QK4rwCaG2Gu2P3z9RTR1WDJx1+4oJYfTp9XnEAjTMoV30vP270sGuPQs=&amp;_app_id=central_doc_viewer&amp;center_on_screen=true&amp;width=950&amp;height=800&amp;_dd2=%26f%3Dsld%26c%3Dtrue%26os%3D225022%26oe%3D225029" xr:uid="{0B127DAE-6E3D-4857-9B03-ED59AC619CF3}"/>
    <hyperlink ref="J18" r:id="rId58" display="fdsup://factset/Doc Viewer Single?float_window=true&amp;positioning_strategy=center_on_screen&amp;_doc_docfn=U2FsdGVkX1/QEzVm8ky3ICrUZhXPkVN/tq+0HnudFlZgtxwbr3btqAhFAb74//yL+3QOe1djaxGe1CNJ9+NkaHdyjGjhtE2P1o5n3v3e3/Q=&amp;_app_id=central_doc_viewer&amp;center_on_screen=true&amp;width=950&amp;height=800&amp;_dd2=%26f%3Dsld%26c%3Dtrue%26os%3D222479%26oe%3D222486" xr:uid="{6362EF58-FC4F-428E-940E-0BC9BAC5FE5B}"/>
    <hyperlink ref="K18" r:id="rId59" display="fdsup://factset/Doc Viewer Single?float_window=true&amp;positioning_strategy=center_on_screen&amp;_doc_docfn=U2FsdGVkX1/KBjSh66inQTeHrmv802mJU7VRBB4htgxgkZSuKUhNsFAGyOO4AseqsnegRJ10bhP83esqixpbixgaS+5StYEKIWpqbmILNUc=&amp;_app_id=central_doc_viewer&amp;center_on_screen=true&amp;width=950&amp;height=800&amp;_dd2=%26f%3Dsld%26c%3Dtrue%26os%3D225034%26oe%3D225041" xr:uid="{F93011AB-69E0-4D0F-8107-38247567D3EC}"/>
    <hyperlink ref="E19" r:id="rId60" display="fdsup://factset/Doc Viewer Single?float_window=true&amp;positioning_strategy=center_on_screen&amp;_doc_docfn=U2FsdGVkX19+o2awlcuHQHdxfEZnxkyGr0xT4EAThP+Z7uz/lXSjq+SWTNp5KlDSWBySxKAPZLrluJHuH5QHwCJqn16w9cxRXT19Wd0MFbE=&amp;_app_id=central_doc_viewer&amp;center_on_screen=true&amp;width=950&amp;height=800&amp;_dd2=%26f%3Dsld%26c%3Dtrue%26os%3D133559%26oe%3D133566" xr:uid="{9BB2E074-FDFE-47F4-90CD-7FB8ED81254E}"/>
    <hyperlink ref="F19" r:id="rId61" display="fdsup://factset/Doc Viewer Single?float_window=true&amp;positioning_strategy=center_on_screen&amp;_doc_docfn=U2FsdGVkX1+wCrBH1fi/q7qEO1l2WneVZ/OpAMNPqLKcSclZ2RP+Un0jJr9rpUBE5oVANBYZlqzAOBn+/ZSCNtOfaFeI4k0zqyonhQA5cyg=&amp;_app_id=central_doc_viewer&amp;center_on_screen=true&amp;width=950&amp;height=800&amp;_dd2=%26f%3Dsld%26c%3Dtrue%26os%3D240474%26oe%3D240481" xr:uid="{686F6794-D178-4627-8BF4-3040EBD9DBFF}"/>
    <hyperlink ref="G19" r:id="rId62" display="fdsup://factset/Doc Viewer Single?float_window=true&amp;positioning_strategy=center_on_screen&amp;_doc_docfn=U2FsdGVkX18rzq2BfjMkNQVV0oiFGYjbIe6qpXn5BU4IM43uTfBILVYX5jRLyq/CKK06G2xGX6tp6ygAyBDKxGotXZNn7WKXf8jIiuFZag0=&amp;_app_id=central_doc_viewer&amp;center_on_screen=true&amp;width=950&amp;height=800&amp;_dd2=%26f%3Dsld%26c%3Dtrue%26os%3D368016%26oe%3D368023" xr:uid="{91A94259-9AA8-4FF7-858C-527FFBAFC249}"/>
    <hyperlink ref="H19" r:id="rId63" display="fdsup://factset/Doc Viewer Single?float_window=true&amp;positioning_strategy=center_on_screen&amp;_doc_docfn=U2FsdGVkX1/lYwWCFrmSYu9+Iq/xnJebqJfZ0fo+vyfaV9Cw5ndo64D6Kk6/CqJOLM6geSvBM8XUht5mUW+PiBLH1pBrixIOJBRwoVmg8Ok=&amp;_app_id=central_doc_viewer&amp;center_on_screen=true&amp;width=950&amp;height=800&amp;_dd2=%26f%3Dsld%26c%3Dtrue%26os%3D227136%26oe%3D227144" xr:uid="{D61EBEE5-2D0F-407F-AD6A-14B4065D4138}"/>
    <hyperlink ref="I19" r:id="rId64" display="fdsup://factset/Doc Viewer Single?float_window=true&amp;positioning_strategy=center_on_screen&amp;_doc_docfn=U2FsdGVkX19VFN+VUUueqKrJRxv5o/6IQf/TqXvh4vHBB9yAGrFAjPW+Xuf8tYhFWCYk2gL30HYC/FjI24+0hxlk074bnIq8YKa1KTxnXDk=&amp;_app_id=central_doc_viewer&amp;center_on_screen=true&amp;width=950&amp;height=800&amp;_dd2=%26f%3Dsld%26c%3Dtrue%26os%3D225787%26oe%3D225792" xr:uid="{9FE6565E-7C82-4144-A266-6784EBFA33E1}"/>
    <hyperlink ref="J19" r:id="rId65" display="fdsup://factset/Doc Viewer Single?float_window=true&amp;positioning_strategy=center_on_screen&amp;_doc_docfn=U2FsdGVkX1+zAF6YPGvV42N/uOtWiuOl900M73Sm9YBh+F2gAcvQJH9p0RiGcBJYitInB2+xd3y8/TLQ6eObL53CAcN0uEO+ipPJeA3DmBg=&amp;_app_id=central_doc_viewer&amp;center_on_screen=true&amp;width=950&amp;height=800&amp;_dd2=%26f%3Dsld%26c%3Dtrue%26os%3D223245%26oe%3D223248" xr:uid="{9FC8069E-B990-4B3A-BE74-9D7B1F62B516}"/>
    <hyperlink ref="K19" r:id="rId66" display="fdsup://factset/Doc Viewer Single?float_window=true&amp;positioning_strategy=center_on_screen&amp;_doc_docfn=U2FsdGVkX1+XE5bT/eIMiR4p5hY4QhPfq9nN8waP1I9EGOjdgBvVu4dbUtCu2AuA/Pe3QJ7z/CvisevIYJN+r+3f9CDD59B7kRmoydFuAbg=&amp;_app_id=central_doc_viewer&amp;center_on_screen=true&amp;width=950&amp;height=800&amp;_dd2=%26f%3Dsld%26c%3Dtrue%26os%3D225803%26oe%3D225810" xr:uid="{AFE384A8-5D6D-44ED-98FE-B179905B0116}"/>
    <hyperlink ref="B21" r:id="rId67" display="fdsup://factset/Doc Viewer Single?float_window=true&amp;positioning_strategy=center_on_screen&amp;_doc_docfn=U2FsdGVkX19bYCnW5+ZKGV07Z077PSDBxGB3nAYup68SuUFMymmTx1oax1ZvBPRpxe9brclSQDoj2HwEMw24Q3bYkDTEFOocOYt3aMWv/6U=&amp;_app_id=central_doc_viewer&amp;center_on_screen=true&amp;width=950&amp;height=800&amp;_dd2=%26f%3Dsld%26c%3Dtrue%26os%3D372264%26oe%3D372265" xr:uid="{EFDE1854-08E9-44C9-A057-9AE2FAECD01C}"/>
    <hyperlink ref="C21" r:id="rId68" display="fdsup://factset/Doc Viewer Single?float_window=true&amp;positioning_strategy=center_on_screen&amp;_doc_docfn=U2FsdGVkX1/IdoQkqgruNZB+3s3cI5DZYTb409Flvq4b6wPbMxCm+mzWCKMRkQl3nFMQpGIz05rvFE6bNHAxTyurupya2ch3CzznK7Khbxo=&amp;_app_id=central_doc_viewer&amp;center_on_screen=true&amp;width=950&amp;height=800&amp;_dd2=%26f%3Dsld%26c%3Dtrue%26os%3D171983%26oe%3D171984" xr:uid="{079289AF-41C6-431F-AE68-A1178A678CED}"/>
    <hyperlink ref="E23" r:id="rId69" display="fdsup://factset/Doc Viewer Single?float_window=true&amp;positioning_strategy=center_on_screen&amp;_doc_docfn=U2FsdGVkX1/DGHC+GkCUTNE1vFhccjAccUSwtCJEuELOstUypW3EF6DTehIs8rYE/U2zBIZqgZGOz2fRTSz1OF8TCPy6Ww2tyewTgBHzrXU=&amp;_app_id=central_doc_viewer&amp;center_on_screen=true&amp;width=950&amp;height=800&amp;_dd2=%26f%3Dsld%26c%3Dtrue%26os%3D134320%26oe%3D134325" xr:uid="{612FCD96-4BC8-4BD0-B070-A58EE5E9DA0C}"/>
    <hyperlink ref="F23" r:id="rId70" display="fdsup://factset/Doc Viewer Single?float_window=true&amp;positioning_strategy=center_on_screen&amp;_doc_docfn=U2FsdGVkX1/INMttrPdipp+5ucDcJPwxn3wZ2w9TjQlgw+R2VCsPgjJOtGSMpqsKZ/rS394aX5d5rW7bYCHofNZPGVXpCV/PCs+DF2UZdlk=&amp;_app_id=central_doc_viewer&amp;center_on_screen=true&amp;width=950&amp;height=800&amp;_dd2=%26f%3Dsld%26c%3Dtrue%26os%3D241186%26oe%3D241191" xr:uid="{38AE5745-B887-447D-8853-A4C80AC21C3A}"/>
    <hyperlink ref="G23" r:id="rId71" display="fdsup://factset/Doc Viewer Single?float_window=true&amp;positioning_strategy=center_on_screen&amp;_doc_docfn=U2FsdGVkX18AJpFV2a4bSdSQExk+Fm8u6MCNlOKdV8lUkCVjLETNq2qyZlUG4hUn4Y8ZIWgAeE7jkcIl/01fz+fsWIoryQDqdyMrRSTXlTs=&amp;_app_id=central_doc_viewer&amp;center_on_screen=true&amp;width=950&amp;height=800&amp;_dd2=%26f%3Dsld%26c%3Dtrue%26os%3D368736%26oe%3D368741" xr:uid="{442EA0B9-3239-4E6C-9319-5C598E17B4C0}"/>
    <hyperlink ref="H23" r:id="rId72" display="fdsup://factset/Doc Viewer Single?float_window=true&amp;positioning_strategy=center_on_screen&amp;_doc_docfn=U2FsdGVkX19GIU0DE4d34v0NNua05NtY524SgdJrpw2m5zDaSaWdiMr94pOY/OSBhUecU+dq2f1awI4CmDcJMEP2Hgfia4GksaDmwHMYQBU=&amp;_app_id=central_doc_viewer&amp;center_on_screen=true&amp;width=950&amp;height=800&amp;_dd2=%26f%3Dsld%26c%3Dtrue%26os%3D227856%26oe%3D227861" xr:uid="{04950A14-80A0-483C-9A11-06405EEFA7D3}"/>
    <hyperlink ref="I23" r:id="rId73" display="fdsup://factset/Doc Viewer Single?float_window=true&amp;positioning_strategy=center_on_screen&amp;_doc_docfn=U2FsdGVkX19AQYthGWpqKAW69+f2JOJw7gopuubebrxwKuBacYvEX5YdNvpvzaLOtTx773rN9JksZ4sr2WpPRum8e4C4SdcCMyc0AF3/fgg=&amp;_app_id=central_doc_viewer&amp;center_on_screen=true&amp;width=950&amp;height=800&amp;_dd2=%26f%3Dsld%26c%3Dtrue%26os%3D226507%26oe%3D226512" xr:uid="{6319EF21-1492-4AAA-BAD7-3EDF906455E4}"/>
    <hyperlink ref="J23" r:id="rId74" display="fdsup://factset/Doc Viewer Single?float_window=true&amp;positioning_strategy=center_on_screen&amp;_doc_docfn=U2FsdGVkX1+hZ+Mv1sUtCt9snhaKpJxDCekdVh9sTRBgjH1rvTAGKjAXYy874Y/JHr0iuuRpdWtLruqbabo6hgkLfRScicnCnQHDMs/8BVs=&amp;_app_id=central_doc_viewer&amp;center_on_screen=true&amp;width=950&amp;height=800&amp;_dd2=%26f%3Dsld%26c%3Dtrue%26os%3D223961%26oe%3D223966" xr:uid="{F9D108C8-687F-43C1-9724-01FB5B22FF16}"/>
    <hyperlink ref="K23" r:id="rId75" display="fdsup://factset/Doc Viewer Single?float_window=true&amp;positioning_strategy=center_on_screen&amp;_doc_docfn=U2FsdGVkX1/4OzZ7+oCpqbl+IhjrK0eg392ARxXLJqkxCIvAoN69+K6VA7CWvMFcLw7xS2h73BrpnBGgXfUahCNByZ/UyGaBWzdFNm1QEto=&amp;_app_id=central_doc_viewer&amp;center_on_screen=true&amp;width=950&amp;height=800&amp;_dd2=%26f%3Dsld%26c%3Dtrue%26os%3D226516%26oe%3D226521" xr:uid="{91DE90F1-3307-408C-8991-36929D006125}"/>
    <hyperlink ref="B25" r:id="rId76" display="fdsup://factset/Doc Viewer Single?float_window=true&amp;positioning_strategy=center_on_screen&amp;_doc_docfn=U2FsdGVkX18+kkgDXkwtqpRPxFy9qTepVV0DOqRU9WWWl0mZE8t3gmsyzUkO55dOLzZton2LmypTqpVGktvzbbsnnugdr8XZcVQv1mbMyx8=&amp;_app_id=central_doc_viewer&amp;center_on_screen=true&amp;width=950&amp;height=800&amp;_dd2=%26f%3Dsld%26c%3Dtrue%26os%3D374793%26oe%3D374796" xr:uid="{1659B444-A6B6-46D5-84C0-F83BBFFE7F32}"/>
    <hyperlink ref="C25" r:id="rId77" display="fdsup://factset/Doc Viewer Single?float_window=true&amp;positioning_strategy=center_on_screen&amp;_doc_docfn=U2FsdGVkX1+QZK6krh18c4jKc2tAaJ0cdY4g0aqpGCOpG9jzK5BB4nkP5EIXTd4Df1R6CPch55htubG9fpiZtPJ6Cx1fz5XY0rcoGxWtSzA=&amp;_app_id=central_doc_viewer&amp;center_on_screen=true&amp;width=950&amp;height=800&amp;_dd2=%26f%3Dsld%26c%3Dtrue%26os%3D172860%26oe%3D172863" xr:uid="{BD4CB28B-F434-43FF-A820-0DA5758EB019}"/>
    <hyperlink ref="D25" r:id="rId78" display="fdsup://factset/Doc Viewer Single?float_window=true&amp;positioning_strategy=center_on_screen&amp;_doc_docfn=U2FsdGVkX1+M8F25eq0mVKaibgLUvjXQByRl3IDrbC6v4B5MjSFTmpxMh9/LrPzS1uPFSfDRTLSmkO/GJdWP1ayN1oPsq74UZQ/gWzckYeI=&amp;_app_id=central_doc_viewer&amp;center_on_screen=true&amp;width=950&amp;height=800&amp;_dd2=%26f%3Dsld%26c%3Dtrue%26os%3D143669%26oe%3D143672" xr:uid="{A474946E-044A-4E3B-A21D-96FEF6CFEA86}"/>
    <hyperlink ref="B26" r:id="rId79" display="fdsup://factset/Doc Viewer Single?float_window=true&amp;positioning_strategy=center_on_screen&amp;_doc_docfn=U2FsdGVkX1+T6n4CaKbyRmnf0DorQpiMWK9dFsxRzKOY/uD5S2K0Wdu4YW8iticicve21+sMmLJOpge97kkoF6aqPCV5mKUoLMoMxdqHWus=&amp;_app_id=central_doc_viewer&amp;center_on_screen=true&amp;width=950&amp;height=800&amp;_dd2=%26f%3Dsld%26c%3Dtrue%26os%3D377423%26oe%3D377426" xr:uid="{CE888896-0C2E-42D7-B6E4-3A6512A47D4D}"/>
    <hyperlink ref="C26" r:id="rId80" display="fdsup://factset/Doc Viewer Single?float_window=true&amp;positioning_strategy=center_on_screen&amp;_doc_docfn=U2FsdGVkX18jboV0MIsXQRI8Sn1amtYxYn60GPQ9TaT7RJ+ayRbozmj0bIlcG+0TV8NrWEWzmhKi4emwKvxiaRch4BtOGK2PDiTuYdXBINE=&amp;_app_id=central_doc_viewer&amp;center_on_screen=true&amp;width=950&amp;height=800&amp;_dd2=%26f%3Dsld%26c%3Dtrue%26os%3D173655%26oe%3D173658" xr:uid="{5A577AFC-67E9-4643-B549-1CC265CF87BB}"/>
    <hyperlink ref="D26" r:id="rId81" display="fdsup://factset/Doc Viewer Single?float_window=true&amp;positioning_strategy=center_on_screen&amp;_doc_docfn=U2FsdGVkX1/cjJ/z2Pm3XwYMYRCY4cQbzZhj8sDBSjiMpwtoBDVo9GSsqe3LyllUztxtP8bnywVDaSgan3wBNwB0uhXM5Ih7XHjCa1Ea8PE=&amp;_app_id=central_doc_viewer&amp;center_on_screen=true&amp;width=950&amp;height=800&amp;_dd2=%26f%3Dsld%26c%3Dtrue%26os%3D144462%26oe%3D144465" xr:uid="{DAE13FDA-9612-4872-94D4-8205B4163EDE}"/>
    <hyperlink ref="B28" r:id="rId82" display="fdsup://factset/Doc Viewer Single?float_window=true&amp;positioning_strategy=center_on_screen&amp;_doc_docfn=U2FsdGVkX1+L5aqNnqDHcIkPpqwaEKJzPGQO+56ahyeNRMoq+AlUr0a09Tw+KXcssbg+nGGiJSSjw08DOU1J7RGDg1GfomhTA3nRKIDSr5g=&amp;_app_id=central_doc_viewer&amp;center_on_screen=true&amp;width=950&amp;height=800&amp;_dd2=%26f%3Dsld%26c%3Dtrue%26os%3D382146%26oe%3D382153" xr:uid="{FE37EBBE-3B38-4EFD-8293-F88D9BCE4ABE}"/>
    <hyperlink ref="C28" r:id="rId83" display="fdsup://factset/Doc Viewer Single?float_window=true&amp;positioning_strategy=center_on_screen&amp;_doc_docfn=U2FsdGVkX19pKMXlFuFdBKDeIpQP+C56/pDfhrgnlHMbVPmP//a6KMjYswkYrlTOwan74jCQNSoGlpoq00tKAw9KleMHEKuOsVjhZ04XI+o=&amp;_app_id=central_doc_viewer&amp;center_on_screen=true&amp;width=950&amp;height=800&amp;_dd2=%26f%3Dsld%26c%3Dtrue%26os%3D174840%26oe%3D174847" xr:uid="{12B00631-9061-48B2-BF72-B472530609ED}"/>
    <hyperlink ref="D28" r:id="rId84" display="fdsup://factset/Doc Viewer Single?float_window=true&amp;positioning_strategy=center_on_screen&amp;_doc_docfn=U2FsdGVkX1807Kc3rakX/o5o/ncdhU+WEWFlag2gktEGbmKPX2cu6jy7DEE2e7Wh0Ddaj3LNykGjLUd9G2XWy5aEYX20okDrFNpxBtg2jAI=&amp;_app_id=central_doc_viewer&amp;center_on_screen=true&amp;width=950&amp;height=800&amp;_dd2=%26f%3Dsld%26c%3Dtrue%26os%3D145647%26oe%3D145654" xr:uid="{6E7C6AEC-EE96-4498-9BC9-1958D1130857}"/>
    <hyperlink ref="E28" r:id="rId85" display="fdsup://factset/Doc Viewer Single?float_window=true&amp;positioning_strategy=center_on_screen&amp;_doc_docfn=U2FsdGVkX192QxNik+cbieo8xFlfl7I1VSn6Prp33mWpHUDlJgBnk2r/GSxzvLv0nhmK17oz7ARuPBwrF5mPB66PI/8miqhF0DQbWXxtCO0=&amp;_app_id=central_doc_viewer&amp;center_on_screen=true&amp;width=950&amp;height=800&amp;_dd2=%26f%3Dsld%26c%3Dtrue%26os%3D135507%26oe%3D135514" xr:uid="{A031E470-D095-4A91-85C0-F152F0998711}"/>
    <hyperlink ref="F28" r:id="rId86" display="fdsup://factset/Doc Viewer Single?float_window=true&amp;positioning_strategy=center_on_screen&amp;_doc_docfn=U2FsdGVkX1+s7kovoNVj0gEylsJSPgmnNCjwNdlcppGW+ajNgsb/9a+EWPJsegGkvd+hVvVCKykvp5/kXEmLgCaG3vlRvaMTzspXd0kzR88=&amp;_app_id=central_doc_viewer&amp;center_on_screen=true&amp;width=950&amp;height=800&amp;_dd2=%26f%3Dsld%26c%3Dtrue%26os%3D242278%26oe%3D242285" xr:uid="{509E59E5-913A-4A30-9A06-2279CF041233}"/>
    <hyperlink ref="G28" r:id="rId87" display="fdsup://factset/Doc Viewer Single?float_window=true&amp;positioning_strategy=center_on_screen&amp;_doc_docfn=U2FsdGVkX18k3YsoPSVVO0bJfkK9E8cvuPDiY/GmYD5+QXXNZwB2rOrB/m1r7KnJkSQ8Dw5Xb8dP0kSyT2wPnhTdgMOEaAcNnQ4cZ1YvjEM=&amp;_app_id=central_doc_viewer&amp;center_on_screen=true&amp;width=950&amp;height=800&amp;_dd2=%26f%3Dsld%26c%3Dtrue%26os%3D369830%26oe%3D369837" xr:uid="{22CA7D7B-286D-4965-9F71-D6A904B2DA44}"/>
    <hyperlink ref="H28" r:id="rId88" display="fdsup://factset/Doc Viewer Single?float_window=true&amp;positioning_strategy=center_on_screen&amp;_doc_docfn=U2FsdGVkX1/gqxUH7XA/l1beqsXizeQsKYc+YaIVpTz4wuDums40NxEeYR0fu0NYru1ao/FEPLn0exOWblfpcMHPfrc6OL9/Ih9s36Ds/M0=&amp;_app_id=central_doc_viewer&amp;center_on_screen=true&amp;width=950&amp;height=800&amp;_dd2=%26f%3Dsld%26c%3Dtrue%26os%3D228951%26oe%3D228958" xr:uid="{750F59F3-1C59-402F-A9F4-4BBC34E89453}"/>
    <hyperlink ref="I28" r:id="rId89" display="fdsup://factset/Doc Viewer Single?float_window=true&amp;positioning_strategy=center_on_screen&amp;_doc_docfn=U2FsdGVkX1+XW/j0J/AcBoiI5juhW3WXUCFfyqXyQFc/tPswvXLdPEAf9InogQc0jeKVBUjatWomWzxbLaZmNXrRpdks1+xsq0c8uziZU/M=&amp;_app_id=central_doc_viewer&amp;center_on_screen=true&amp;width=950&amp;height=800&amp;_dd2=%26f%3Dsld%26c%3Dtrue%26os%3D227607%26oe%3D227614" xr:uid="{E1F319F8-2DCA-4B50-B42C-8DFFEB470520}"/>
    <hyperlink ref="J28" r:id="rId90" display="fdsup://factset/Doc Viewer Single?float_window=true&amp;positioning_strategy=center_on_screen&amp;_doc_docfn=U2FsdGVkX1/yMgb7j4ahKJCXlrD6mmivxyKWXCQLtaEBPEEpdHb2+yKz4P5t4T40CSNByFFnCo3X/d3H0+jsAC+pYYpZ5JGXLPW6KmUcafs=&amp;_app_id=central_doc_viewer&amp;center_on_screen=true&amp;width=950&amp;height=800&amp;_dd2=%26f%3Dsld%26c%3Dtrue%26os%3D225062%26oe%3D225069" xr:uid="{3E78707B-7EAC-48B3-BB84-4A40051D65E6}"/>
    <hyperlink ref="K28" r:id="rId91" display="fdsup://factset/Doc Viewer Single?float_window=true&amp;positioning_strategy=center_on_screen&amp;_doc_docfn=U2FsdGVkX1+ZDbN9jXBSV5zLfxducWRm3dOMsn0LZOe5YUY/6X/XIG2GdLrZKitTvSH/MTp40P8jQueIDXqjdKnB3HyOPP4jb5UX+s6KFDs=&amp;_app_id=central_doc_viewer&amp;center_on_screen=true&amp;width=950&amp;height=800&amp;_dd2=%26f%3Dsld%26c%3Dtrue%26os%3D227617%26oe%3D227624" xr:uid="{07776EB3-7D43-48A1-B63E-FF5E53EA9125}"/>
    <hyperlink ref="B29" r:id="rId92" display="fdsup://factset/Doc Viewer Single?float_window=true&amp;positioning_strategy=center_on_screen&amp;_doc_docfn=U2FsdGVkX184MMirf7fRHP5Xt3qC9/SZ0v1pv4u3N1G32H4OXrZpebrtkH7PSKG9ikMulMJbzTDulm8yPRtp4PfuQ3fo4oh3xoltdjmIAfk=&amp;_app_id=central_doc_viewer&amp;center_on_screen=true&amp;width=950&amp;height=800&amp;_dd2=%26f%3Dsld%26c%3Dtrue%26os%3D384637%26oe%3D384642" xr:uid="{0D3F9635-B6BD-4DD1-8EDE-2F77F8B2F84A}"/>
    <hyperlink ref="C29" r:id="rId93" display="fdsup://factset/Doc Viewer Single?float_window=true&amp;positioning_strategy=center_on_screen&amp;_doc_docfn=U2FsdGVkX1951W9pF4nnu5IARG1KNnehKK4d4Ve5CN+whDPG2zO9cVqsNB3CBsRlCd2kuJPyXfKm77HZkpEqjJZAm0rou+sHdD2dhNEc3/4=&amp;_app_id=central_doc_viewer&amp;center_on_screen=true&amp;width=950&amp;height=800&amp;_dd2=%26f%3Dsld%26c%3Dtrue%26os%3D175642%26oe%3D175647" xr:uid="{F8189663-50DA-4C43-B91A-9D96C84E80F4}"/>
    <hyperlink ref="D29" r:id="rId94" display="fdsup://factset/Doc Viewer Single?float_window=true&amp;positioning_strategy=center_on_screen&amp;_doc_docfn=U2FsdGVkX18sR/tXFfDdFONbVbDdCHsqeay0r/MmJxd7BhQAUHNnGIacGIgPwvZtZVTObBangFs6fO4Hpl6NzQUb88nXHu+DL5l7HpAKnGE=&amp;_app_id=central_doc_viewer&amp;center_on_screen=true&amp;width=950&amp;height=800&amp;_dd2=%26f%3Dsld%26c%3Dtrue%26os%3D146449%26oe%3D146454" xr:uid="{03931229-508D-420E-803C-8A55D9F2388A}"/>
    <hyperlink ref="E29" r:id="rId95" display="fdsup://factset/Doc Viewer Single?float_window=true&amp;positioning_strategy=center_on_screen&amp;_doc_docfn=U2FsdGVkX1+t1PZzUhCmSQPRPiEzPc7iN6edUPnjtLZsCXjKLEXj9ZwUNLDhKolnbRwz8HSQPUMF0BjwMWP/S0Znq2TRtoodczZCFKRvslk=&amp;_app_id=central_doc_viewer&amp;center_on_screen=true&amp;width=950&amp;height=800&amp;_dd2=%26f%3Dsld%26c%3Dtrue%26os%3D136309%26oe%3D136316" xr:uid="{805F070C-2C50-459F-8466-3309B8FBCB50}"/>
    <hyperlink ref="F29" r:id="rId96" display="fdsup://factset/Doc Viewer Single?float_window=true&amp;positioning_strategy=center_on_screen&amp;_doc_docfn=U2FsdGVkX19BCpMB/lvtw5oBIVLdh1r7xlHuza/SJcCe9DI79ao9Xe+Mm7eSlAGRoAe7f12ofV5tJ66WmSnwWpaD0MKWg/MGu1bf8TzdXFM=&amp;_app_id=central_doc_viewer&amp;center_on_screen=true&amp;width=950&amp;height=800&amp;_dd2=%26f%3Dsld%26c%3Dtrue%26os%3D243024%26oe%3D243031" xr:uid="{237B5711-B8AB-40F8-A26C-7C865FADE8C5}"/>
    <hyperlink ref="G29" r:id="rId97" display="fdsup://factset/Doc Viewer Single?float_window=true&amp;positioning_strategy=center_on_screen&amp;_doc_docfn=U2FsdGVkX1+B96oqWq3ZlL2//+78eZL5miqpBrnVyTqP0sgeHvo66Qy2JPpcKei0s7Mb1Pcera1+E4vhhyL0r0M03ep+MZ2J7Rqr/BEcww8=&amp;_app_id=central_doc_viewer&amp;center_on_screen=true&amp;width=950&amp;height=800&amp;_dd2=%26f%3Dsld%26c%3Dtrue%26os%3D370576%26oe%3D370581" xr:uid="{B8561B85-2D97-4938-B910-36551F59298F}"/>
    <hyperlink ref="H29" r:id="rId98" display="fdsup://factset/Doc Viewer Single?float_window=true&amp;positioning_strategy=center_on_screen&amp;_doc_docfn=U2FsdGVkX1/cahryqo4vp+iVCSEKTjPO/z6jrEkrCmQ0oP2NJcdVau2LFpUIWYbInOiof6bS6udMSrXDhXR2KKyONT2Yng3dSUuJCl+SqZA=&amp;_app_id=central_doc_viewer&amp;center_on_screen=true&amp;width=950&amp;height=800&amp;_dd2=%26f%3Dsld%26c%3Dtrue%26os%3D229696%26oe%3D229701" xr:uid="{8A7BDEB1-A1DE-4CAE-8C4A-324D950314B5}"/>
    <hyperlink ref="I29" r:id="rId99" display="fdsup://factset/Doc Viewer Single?float_window=true&amp;positioning_strategy=center_on_screen&amp;_doc_docfn=U2FsdGVkX1/BKYAOIrWh3nhUFVgrS1L2DV6YN1jz8N/dvC2rsw6u/l+0YkdDjer3uqUS69Ooqpo54mEdfCSwTa6ZxjAZqb2LY1HbG6Txs+A=&amp;_app_id=central_doc_viewer&amp;center_on_screen=true&amp;width=950&amp;height=800&amp;_dd2=%26f%3Dsld%26c%3Dtrue%26os%3D228352%26oe%3D228355" xr:uid="{A22C3B96-C264-455D-9AD0-5067FA44EA22}"/>
    <hyperlink ref="J29" r:id="rId100" display="fdsup://factset/Doc Viewer Single?float_window=true&amp;positioning_strategy=center_on_screen&amp;_doc_docfn=U2FsdGVkX19sxAd40iiY5RDbDHFjOSkE19UkTii8orGe5tMn8ifXpNIttynbjNq9oqwDoFbF7Gap95vZVSpBq30+QUx82gOBygc9fA03c60=&amp;_app_id=central_doc_viewer&amp;center_on_screen=true&amp;width=950&amp;height=800&amp;_dd2=%26f%3Dsld%26c%3Dtrue%26os%3D225807%26oe%3D225810" xr:uid="{3EB3D86D-ECB9-4AAD-8907-553CB3EA2BEF}"/>
    <hyperlink ref="K29" r:id="rId101" display="fdsup://factset/Doc Viewer Single?float_window=true&amp;positioning_strategy=center_on_screen&amp;_doc_docfn=U2FsdGVkX1/JalPymdBtNSUAO6cpeEGhg+iz+OAa/zgKbrCc0FfbMIbHtrAmQgV+hCxwUzoMRaiJHHe6+8BV0Oa8h18s9OieFTnZo/OXHK0=&amp;_app_id=central_doc_viewer&amp;center_on_screen=true&amp;width=950&amp;height=800&amp;_dd2=%26f%3Dsld%26c%3Dtrue%26os%3D228363%26oe%3D228370" xr:uid="{281BB604-927A-4B00-8DF3-EFDFE14EEE1A}"/>
    <hyperlink ref="B30" r:id="rId102" display="fdsup://factset/Doc Viewer Single?float_window=true&amp;positioning_strategy=center_on_screen&amp;_doc_docfn=U2FsdGVkX1/pLzFF34B1wQnNq1h+mqRH9JsTvBWtS1jCo1sYg/F+6sds5V5+fNMTI/y55mUNxJn84WKJQCkz4NzY8Solkqhd/SSTF1VX5LE=&amp;_app_id=central_doc_viewer&amp;center_on_screen=true&amp;width=950&amp;height=800&amp;_dd2=%26f%3Dsld%26c%3Dtrue%26os%3D387452%26oe%3D387457" xr:uid="{5CCAA76A-CFC8-4375-8AB4-0BB81A2F4F0F}"/>
    <hyperlink ref="C30" r:id="rId103" display="fdsup://factset/Doc Viewer Single?float_window=true&amp;positioning_strategy=center_on_screen&amp;_doc_docfn=U2FsdGVkX184lEHmn7ro5wCw9ejng+c7tvrQqbdphYSGLFWtdKn6CoGjbgIolTZtgkMA85mgKJzYNEqU6tW4Hjufa2P8+EfwwPTIJ1w+jHg=&amp;_app_id=central_doc_viewer&amp;center_on_screen=true&amp;width=950&amp;height=800&amp;_dd2=%26f%3Dsld%26c%3Dtrue%26os%3D176483%26oe%3D176486" xr:uid="{0307DEF6-219C-417C-AB4E-256BDBC0E8FE}"/>
    <hyperlink ref="D30" r:id="rId104" display="fdsup://factset/Doc Viewer Single?float_window=true&amp;positioning_strategy=center_on_screen&amp;_doc_docfn=U2FsdGVkX1/zoGyLridbt0iHJGfFOaH3da+MbFauAdqoVqSYMHi3SBpvvSJLyQACRRr3Qw1vcSpog9KDwyQGzTTC9ru7mFR9+4cXzn/Ir6Q=&amp;_app_id=central_doc_viewer&amp;center_on_screen=true&amp;width=950&amp;height=800&amp;_dd2=%26f%3Dsld%26c%3Dtrue%26os%3D147234%26oe%3D147241" xr:uid="{F0589BA0-5B7C-4181-812F-D299B98B03B0}"/>
    <hyperlink ref="E30" r:id="rId105" display="fdsup://factset/Doc Viewer Single?float_window=true&amp;positioning_strategy=center_on_screen&amp;_doc_docfn=U2FsdGVkX18sLy+GgK5rPHfinETxEODoqgqp+6DDnv5pT7Y9pf4eo1s5mYBp8+WmNwaesMEUjmFdLKBF/LpiYW8g9X28hGo3PemCYyjzokc=&amp;_app_id=central_doc_viewer&amp;center_on_screen=true&amp;width=950&amp;height=800&amp;_dd2=%26f%3Dsld%26c%3Dtrue%26os%3D137097%26oe%3D137104" xr:uid="{19484606-3A1D-47C1-899C-E32358E93BF1}"/>
    <hyperlink ref="F30" r:id="rId106" display="fdsup://factset/Doc Viewer Single?float_window=true&amp;positioning_strategy=center_on_screen&amp;_doc_docfn=U2FsdGVkX19AJYAFTekAMghaDSe574jlmH7FYTJQ/idZjIn5bQ4H52IdAN7nVRDSvEuesO4KExMsYrNktZYxysuzaUIMwCXhlSBNBNarU3o=&amp;_app_id=central_doc_viewer&amp;center_on_screen=true&amp;width=950&amp;height=800&amp;_dd2=%26f%3Dsld%26c%3Dtrue%26os%3D243757%26oe%3D243762" xr:uid="{851B61F5-61C8-4243-9A60-D0B3DE53928A}"/>
    <hyperlink ref="G30" r:id="rId107" display="fdsup://factset/Doc Viewer Single?float_window=true&amp;positioning_strategy=center_on_screen&amp;_doc_docfn=U2FsdGVkX18d6UkLzxWFvMiK0BOsd3+lSlj/fnFIlYYuOFQS2UF/d7WEWeVGl2gxXgMnhRMgBB8tvVvXayxRyZ94n0x8+m6Z7mCt/jRgf7s=&amp;_app_id=central_doc_viewer&amp;center_on_screen=true&amp;width=950&amp;height=800&amp;_dd2=%26f%3Dsld%26c%3Dtrue%26os%3D371310%26oe%3D371317" xr:uid="{BE8FFCC9-1599-497D-9447-B94E61187519}"/>
    <hyperlink ref="H30" r:id="rId108" display="fdsup://factset/Doc Viewer Single?float_window=true&amp;positioning_strategy=center_on_screen&amp;_doc_docfn=U2FsdGVkX1+PRBUquiJbWmQ92QZpV+5yyoEQTA4nwWWlDCsIZVQkUfJsEBcnFePQjJoUhlLVJuX3Q2tSseypoLs9o5nJs5z6uCKulEBh2L4=&amp;_app_id=central_doc_viewer&amp;center_on_screen=true&amp;width=950&amp;height=800&amp;_dd2=%26f%3Dsld%26c%3Dtrue%26os%3D230428%26oe%3D230435" xr:uid="{D9C3B3A4-77A3-47AB-AD7B-F0D576F855A1}"/>
    <hyperlink ref="I30" r:id="rId109" display="fdsup://factset/Doc Viewer Single?float_window=true&amp;positioning_strategy=center_on_screen&amp;_doc_docfn=U2FsdGVkX1+1ZRudK8851xFj4jx/fwJ4freHEj+vOQk6yVziUNXWqmLALa4P5UGkM8gVraRWWm2VqIDuZb7oIF1cOF3ZiWRhnZEpW1m6JX8=&amp;_app_id=central_doc_viewer&amp;center_on_screen=true&amp;width=950&amp;height=800&amp;_dd2=%26f%3Dsld%26c%3Dtrue%26os%3D229079%26oe%3D229086" xr:uid="{74B1CA2C-0EF7-497A-8077-F93E425DCA32}"/>
    <hyperlink ref="J30" r:id="rId110" display="fdsup://factset/Doc Viewer Single?float_window=true&amp;positioning_strategy=center_on_screen&amp;_doc_docfn=U2FsdGVkX19qLDCXc4J/4f7EefTrP9dWWWW9fGad9UHddG8K8MwL+xXJXrhG72AZr4IRq+z+uk9VGEdVk0MVz+uhSPFbjtjagza3Scr6klY=&amp;_app_id=central_doc_viewer&amp;center_on_screen=true&amp;width=950&amp;height=800&amp;_dd2=%26f%3Dsld%26c%3Dtrue%26os%3D226531%26oe%3D226538" xr:uid="{AD4EBF8B-FD5A-42D1-99AF-F0F607FFB74B}"/>
    <hyperlink ref="K30" r:id="rId111" display="fdsup://factset/Doc Viewer Single?float_window=true&amp;positioning_strategy=center_on_screen&amp;_doc_docfn=U2FsdGVkX1+nTwBYy0z9bEFibeuyhuVyYvAbwxW8xZwSPtuClJxf/m+EzhUdi53Y8XJBO2Z87CdO5/H8GdQsmU6x2zXB/tU+PGEMLyuw3S8=&amp;_app_id=central_doc_viewer&amp;center_on_screen=true&amp;width=950&amp;height=800&amp;_dd2=%26f%3Dsld%26c%3Dtrue%26os%3D229089%26oe%3D229096" xr:uid="{28848769-9E2D-442C-8CD3-496868C669E7}"/>
    <hyperlink ref="B33" r:id="rId112" display="fdsup://factset/Doc Viewer Single?float_window=true&amp;positioning_strategy=center_on_screen&amp;_doc_docfn=U2FsdGVkX19eUbJuVQBGOUyAVL1B4dMkE6WzpdZO8pjz/KYe+TiRh2nI7kLGrS5rY7eLTC0HXBrVZsJ8IszaqQROb1rhWcWtpL3i1nW/nBg=&amp;_app_id=central_doc_viewer&amp;center_on_screen=true&amp;width=950&amp;height=800&amp;_dd2=%26f%3Dsld%26c%3Dtrue%26os%3D389892%26oe%3D389895" xr:uid="{F8420BEA-8694-4A38-8B40-2E4A16FA8FA7}"/>
    <hyperlink ref="C33" r:id="rId113" display="fdsup://factset/Doc Viewer Single?float_window=true&amp;positioning_strategy=center_on_screen&amp;_doc_docfn=U2FsdGVkX1/HyFzgaTT1H0hjwYbFPdzY6uOhKQNrd0iuujU+VsIDDOoAnt9jcJfvZhoycoHsxk6BKDL+7897sfJ/0rONuWi3znXjK/OfFFY=&amp;_app_id=central_doc_viewer&amp;center_on_screen=true&amp;width=950&amp;height=800&amp;_dd2=%26f%3Dsld%26c%3Dtrue%26os%3D177315%26oe%3D177318" xr:uid="{BF98A093-E058-42AE-911D-41FC344821BD}"/>
    <hyperlink ref="D33" r:id="rId114" display="fdsup://factset/Doc Viewer Single?float_window=true&amp;positioning_strategy=center_on_screen&amp;_doc_docfn=U2FsdGVkX1+FtxFUfh8/fXm2JR+H4Q3rUqyzWojgQgcz+/5GteaZJrxlvkjmhwk10W53nF8tL0HkxEvZo90y+k+kAuGOijfj9FKkjziRtF4=&amp;_app_id=central_doc_viewer&amp;center_on_screen=true&amp;width=950&amp;height=800&amp;_dd2=%26f%3Dsld%26c%3Dtrue%26os%3D148034%26oe%3D148037" xr:uid="{F037604E-2549-4C16-8E41-3A2DBC2376ED}"/>
    <hyperlink ref="E33" r:id="rId115" display="fdsup://factset/Doc Viewer Single?float_window=true&amp;positioning_strategy=center_on_screen&amp;_doc_docfn=U2FsdGVkX1+NaW05lfjAAXBPGHxr/T50UCqgb7bHbB6pZMCg/N7QdVpx5GKXYVWc3uYKGAq5/0xKCPzYbhP/YSL7gqxOZXjhseo2lM9Brjs=&amp;_app_id=central_doc_viewer&amp;center_on_screen=true&amp;width=950&amp;height=800&amp;_dd2=%26f%3Dsld%26c%3Dtrue%26os%3D137901%26oe%3D137906" xr:uid="{0EDE4164-7C4E-4EF9-A33A-43D43AECA4C7}"/>
    <hyperlink ref="F33" r:id="rId116" display="fdsup://factset/Doc Viewer Single?float_window=true&amp;positioning_strategy=center_on_screen&amp;_doc_docfn=U2FsdGVkX18p4gSdiCinrtxLBjmsxVkMl5eZ5MXpGT6ZsAGFRuqOhq3LQ/LUR6eBoNcJl4hYpFacvZWnDnN1c16DWzhVBSQuDJ2aKZqC4i8=&amp;_app_id=central_doc_viewer&amp;center_on_screen=true&amp;width=950&amp;height=800&amp;_dd2=%26f%3Dsld%26c%3Dtrue%26os%3D244507%26oe%3D244510" xr:uid="{86AAF0B1-BDCD-4517-9546-5DE859232E0D}"/>
    <hyperlink ref="G33" r:id="rId117" display="fdsup://factset/Doc Viewer Single?float_window=true&amp;positioning_strategy=center_on_screen&amp;_doc_docfn=U2FsdGVkX19DetUhN4PIc6dHdXKPhUtGUX/g6ARIVIoeldD4opN7F1H2sBV12AcA3gGX/Ch/G2Am8k8DxQhtmLJIumkWpqZxnBZVpUW0sGY=&amp;_app_id=central_doc_viewer&amp;center_on_screen=true&amp;width=950&amp;height=800&amp;_dd2=%26f%3Dsld%26c%3Dtrue%26os%3D372059%26oe%3D372062" xr:uid="{07B9C23E-E956-4092-BE76-EC43964C1E75}"/>
    <hyperlink ref="H33" r:id="rId118" display="fdsup://factset/Doc Viewer Single?float_window=true&amp;positioning_strategy=center_on_screen&amp;_doc_docfn=U2FsdGVkX1+odm+z2fwWDy2y8vGOt8lq3N0Zfu0/7NoYyQPY0O2tMzOJefJKGIeVxAtupBcO04fJrY3r+dg5fW6KA3BtRhPDXL1zez10AFU=&amp;_app_id=central_doc_viewer&amp;center_on_screen=true&amp;width=950&amp;height=800&amp;_dd2=%26f%3Dsld%26c%3Dtrue%26os%3D231177%26oe%3D231180" xr:uid="{734A9797-4997-45D2-8398-A8EF3AD962A4}"/>
    <hyperlink ref="I33" r:id="rId119" display="fdsup://factset/Doc Viewer Single?float_window=true&amp;positioning_strategy=center_on_screen&amp;_doc_docfn=U2FsdGVkX1/Ai8PK6VejBsaQqA4EbcmiOlgvppXKScx7I8Rhgr5ESeObqLH2i4x1VPL8pFqVolBo7vudGV7txgxL2WVC1+hKnzpLO63ynAk=&amp;_app_id=central_doc_viewer&amp;center_on_screen=true&amp;width=950&amp;height=800&amp;_dd2=%26f%3Dsld%26c%3Dtrue%26os%3D229831%26oe%3D229834" xr:uid="{26C5C2B8-A29B-4B2A-AB52-D5921B15FE20}"/>
    <hyperlink ref="J33" r:id="rId120" display="fdsup://factset/Doc Viewer Single?float_window=true&amp;positioning_strategy=center_on_screen&amp;_doc_docfn=U2FsdGVkX1/TWNKJO1QJqF8kqQee7C9krFkRFc779f84MJiZK3vMjMS4uMZS8re/7etlpnsPlxjnIWFdtE/TS6mOFtkCCB4Ygmvr0QrWzkc=&amp;_app_id=central_doc_viewer&amp;center_on_screen=true&amp;width=950&amp;height=800&amp;_dd2=%26f%3Dsld%26c%3Dtrue%26os%3D227283%26oe%3D227286" xr:uid="{4840F7F1-D4B9-4698-BA9B-856986590AF0}"/>
    <hyperlink ref="K33" r:id="rId121" display="fdsup://factset/Doc Viewer Single?float_window=true&amp;positioning_strategy=center_on_screen&amp;_doc_docfn=U2FsdGVkX1/aaNgvZ1OiK5q3ZL17LsMhE+X8V8mGpJoHCtrGp6GSgGbEQJse89MJxqMVDjaLsv4kMOfANUesg2t9g/nETd5/b5YJQcIemTg=&amp;_app_id=central_doc_viewer&amp;center_on_screen=true&amp;width=950&amp;height=800&amp;_dd2=%26f%3Dsld%26c%3Dtrue%26os%3D229841%26oe%3D229844" xr:uid="{6F8FC876-FB37-4CE2-A74C-AC0EE6F81B99}"/>
    <hyperlink ref="B34" r:id="rId122" display="fdsup://factset/Doc Viewer Single?float_window=true&amp;positioning_strategy=center_on_screen&amp;_doc_docfn=U2FsdGVkX1+vdm/E8Wzve5LW7C2tYcqEpx5AfoPYftTarlAsZkEimAKsOPJvSswVKQvblatelBHtYmW6K/iNPbX09CKsSmL7niAity7CTk0=&amp;_app_id=central_doc_viewer&amp;center_on_screen=true&amp;width=950&amp;height=800&amp;_dd2=%26f%3Dsld%26c%3Dtrue%26os%3D392557%26oe%3D392562" xr:uid="{C5C40504-E845-48A3-8156-E718C9E19104}"/>
    <hyperlink ref="C34" r:id="rId123" display="fdsup://factset/Doc Viewer Single?float_window=true&amp;positioning_strategy=center_on_screen&amp;_doc_docfn=U2FsdGVkX1+wjjxV9fTvD+I9BK3Op+0peSFwRlmspeZ+VEjIWW1TGBXVQv41bqmfMjqLS98UU39rYCEJrFOvRmoeso/AEHv705riDagYRz8=&amp;_app_id=central_doc_viewer&amp;center_on_screen=true&amp;width=950&amp;height=800&amp;_dd2=%26f%3Dsld%26c%3Dtrue%26os%3D178125%26oe%3D178130" xr:uid="{5E09FCDB-87FF-4E02-88BC-D50D0AC593F6}"/>
    <hyperlink ref="D34" r:id="rId124" display="fdsup://factset/Doc Viewer Single?float_window=true&amp;positioning_strategy=center_on_screen&amp;_doc_docfn=U2FsdGVkX19vJYJuDDi2ZIhhpCV/hxUYOCeTZN2JXfqsz/1kyjn8K25Z+kfrQCDVM9HdG3SBfZRJ+7iPJPftbM2uj8Ykc++bkZQDYFbUev4=&amp;_app_id=central_doc_viewer&amp;center_on_screen=true&amp;width=950&amp;height=800&amp;_dd2=%26f%3Dsld%26c%3Dtrue%26os%3D148844%26oe%3D148849" xr:uid="{1202950A-6504-4CED-AAC8-EFBA6A662464}"/>
    <hyperlink ref="E34" r:id="rId125" display="fdsup://factset/Doc Viewer Single?float_window=true&amp;positioning_strategy=center_on_screen&amp;_doc_docfn=U2FsdGVkX1+5E7HufM4z0DHQ4rbESzAyxSmGe5aujcUCjqyEwYB5sz++EiaW5X9UXKETe/+c3cQUvAw1rrC9V9M0JYdXDRAFm0i+RaFOKME=&amp;_app_id=central_doc_viewer&amp;center_on_screen=true&amp;width=950&amp;height=800&amp;_dd2=%26f%3Dsld%26c%3Dtrue%26os%3D138713%26oe%3D138718" xr:uid="{3BF1E389-65C1-40E2-A5A5-4915F879AEA1}"/>
    <hyperlink ref="F34" r:id="rId126" display="fdsup://factset/Doc Viewer Single?float_window=true&amp;positioning_strategy=center_on_screen&amp;_doc_docfn=U2FsdGVkX1/Zi04NnGvJdjgXjo4uRR78V/N1Ee0qlzvtUsfMFv/3VOcb3zWFffnXHmIjoFVMTMcSBl6pgLDASPHHUCS0FNsDV3OpYZSID/c=&amp;_app_id=central_doc_viewer&amp;center_on_screen=true&amp;width=950&amp;height=800&amp;_dd2=%26f%3Dsld%26c%3Dtrue%26os%3D245264%26oe%3D245269" xr:uid="{FD416E08-3D41-4AF0-A0E6-E948FFF9D312}"/>
    <hyperlink ref="G34" r:id="rId127" display="fdsup://factset/Doc Viewer Single?float_window=true&amp;positioning_strategy=center_on_screen&amp;_doc_docfn=U2FsdGVkX1+oQjYHQFJ04VqAXxJLe1Eud5tC6KWI31cC2BTMTfPVU4nscdqJSfeIeG4JrmAhitkDA+Q561OTGfoje5oRajPPjjkeWj9IV2o=&amp;_app_id=central_doc_viewer&amp;center_on_screen=true&amp;width=950&amp;height=800&amp;_dd2=%26f%3Dsld%26c%3Dtrue%26os%3D372816%26oe%3D372821" xr:uid="{E19CAFBC-08DD-4F96-ABD7-7DC0E93583E8}"/>
    <hyperlink ref="H34" r:id="rId128" display="fdsup://factset/Doc Viewer Single?float_window=true&amp;positioning_strategy=center_on_screen&amp;_doc_docfn=U2FsdGVkX1+l0HBmOEXGJ4SjCC4yvS38a1iQIE9I/5Yqf5169TK2C5B8nUuhDAP2IoRjo83j7v98lubdDWJohoT1Pfcbc2uaWnDTxfZx9kc=&amp;_app_id=central_doc_viewer&amp;center_on_screen=true&amp;width=950&amp;height=800&amp;_dd2=%26f%3Dsld%26c%3Dtrue%26os%3D231931%26oe%3D231936" xr:uid="{90A961DF-CAE3-4E67-943B-D50D1DCF9386}"/>
    <hyperlink ref="I34" r:id="rId129" display="fdsup://factset/Doc Viewer Single?float_window=true&amp;positioning_strategy=center_on_screen&amp;_doc_docfn=U2FsdGVkX1//g0gqvaMPJBjJOd7RKUTrG0V6QK1qplsgfmj94YnQFSkf11wQQoj08VMVojeme07zUkxPtnBymT68WAeBTqZXBGaupRMilxw=&amp;_app_id=central_doc_viewer&amp;center_on_screen=true&amp;width=950&amp;height=800&amp;_dd2=%26f%3Dsld%26c%3Dtrue%26os%3D230585%26oe%3D230590" xr:uid="{445916F7-0FB8-4863-9446-00ACCEA203E7}"/>
    <hyperlink ref="J34" r:id="rId130" display="fdsup://factset/Doc Viewer Single?float_window=true&amp;positioning_strategy=center_on_screen&amp;_doc_docfn=U2FsdGVkX1+rmw856OmQcFAn4Bjdghe7D3TrTm35Zvw5/s/RmCBjZ8ig6Q3dUbabVppklRh01RF8AppbleRFkzK6Ggy5vA6AzUyEgFv1o/8=&amp;_app_id=central_doc_viewer&amp;center_on_screen=true&amp;width=950&amp;height=800&amp;_dd2=%26f%3Dsld%26c%3Dtrue%26os%3D228037%26oe%3D228042" xr:uid="{30E7F237-A40B-4367-8834-5BC99281131F}"/>
    <hyperlink ref="K34" r:id="rId131" display="fdsup://factset/Doc Viewer Single?float_window=true&amp;positioning_strategy=center_on_screen&amp;_doc_docfn=U2FsdGVkX19QzVXvq+b5emG/oE8+h8TO1r35lJghQPYJ/8rLQBeUydgpNwtzdDt+h+TCk1kTU16KPc/FhJ8nJbI+583hRjNXxG88aypVaFg=&amp;_app_id=central_doc_viewer&amp;center_on_screen=true&amp;width=950&amp;height=800&amp;_dd2=%26f%3Dsld%26c%3Dtrue%26os%3D230595%26oe%3D230602" xr:uid="{8C79A3D8-9FA3-406E-AAB5-9F1F4FF9AA31}"/>
    <hyperlink ref="B35" r:id="rId132" display="fdsup://factset/Doc Viewer Single?float_window=true&amp;positioning_strategy=center_on_screen&amp;_doc_docfn=U2FsdGVkX18LzdnVMWmvzuXR7sHv/1evdOUKtqNbHbXNW2t3VJSO1e1n1y3Fo5I5UGjC/Im9doaj8P6vBAs09xJgC6/vDKYerCUFSa/gjVY=&amp;_app_id=central_doc_viewer&amp;center_on_screen=true&amp;width=950&amp;height=800&amp;_dd2=%26f%3Dsld%26c%3Dtrue%26os%3D394957%26oe%3D394960" xr:uid="{1CF554EB-58CF-4308-AA96-8CF012127124}"/>
    <hyperlink ref="C35" r:id="rId133" display="fdsup://factset/Doc Viewer Single?float_window=true&amp;positioning_strategy=center_on_screen&amp;_doc_docfn=U2FsdGVkX1/anpZz/ydgQR8pc6Qj1w16sBPk/BUunwr/px7vFj5gW/KQpvxf35C7IPqD0s5pSelwIMuAcV2WCtz4VDDOXGh98VbQ3sDp5Wc=&amp;_app_id=central_doc_viewer&amp;center_on_screen=true&amp;width=950&amp;height=800&amp;_dd2=%26f%3Dsld%26c%3Dtrue%26os%3D178932%26oe%3D178935" xr:uid="{4565147E-22BF-4497-8D03-0BE64BF35C2A}"/>
    <hyperlink ref="D35" r:id="rId134" display="fdsup://factset/Doc Viewer Single?float_window=true&amp;positioning_strategy=center_on_screen&amp;_doc_docfn=U2FsdGVkX1/5WOdiEnEFMQ92sDoZ8dgwxiobF9xoSPi4D63CWyaF53pPyXUrvN3Kx56nFP7zEDJlM2RUa19/6VovW6auHnSBW5arZtO/hdk=&amp;_app_id=central_doc_viewer&amp;center_on_screen=true&amp;width=950&amp;height=800&amp;_dd2=%26f%3Dsld%26c%3Dtrue%26os%3D149654%26oe%3D149657" xr:uid="{EAD54057-58BB-46D9-A391-71AFCF7A994F}"/>
    <hyperlink ref="E35" r:id="rId135" display="fdsup://factset/Doc Viewer Single?float_window=true&amp;positioning_strategy=center_on_screen&amp;_doc_docfn=U2FsdGVkX1+oJzDqtXh4T7kl1795PvTQQiGFJux512TU+m/gKVHO6h8ygIIZh8dUhioEh6fEv3cOImd/pxYwB9SMiUic7wW1ZxGA2b4wnPM=&amp;_app_id=central_doc_viewer&amp;center_on_screen=true&amp;width=950&amp;height=800&amp;_dd2=%26f%3Dsld%26c%3Dtrue%26os%3D139523%26oe%3D139526" xr:uid="{5EBC719B-9C82-4ADD-A6C7-EE31D163AC29}"/>
    <hyperlink ref="F35" r:id="rId136" display="fdsup://factset/Doc Viewer Single?float_window=true&amp;positioning_strategy=center_on_screen&amp;_doc_docfn=U2FsdGVkX1+qgz4aA7OVqKrZ6m7pn/0ycDV3EmGs5ntOlqiOXpM79n17u96SqpSR1G4adVeUkaDyHOeEYcXU5KrEHAvsnMi+oCA/GZT3Tnk=&amp;_app_id=central_doc_viewer&amp;center_on_screen=true&amp;width=950&amp;height=800&amp;_dd2=%26f%3Dsld%26c%3Dtrue%26os%3D246019%26oe%3D246024" xr:uid="{5CA24D41-3CF8-4551-BF50-A4F53D47CEF0}"/>
    <hyperlink ref="G35" r:id="rId137" display="fdsup://factset/Doc Viewer Single?float_window=true&amp;positioning_strategy=center_on_screen&amp;_doc_docfn=U2FsdGVkX1+LJln3PntrShzUZ5JVSd6+ZvRsOiExg/v/KSwX1A8wSSPcRds4/67QsB0iX41pnSyTWCIr6ZLRii/0jHBhgZuT+nvQfEdBOow=&amp;_app_id=central_doc_viewer&amp;center_on_screen=true&amp;width=950&amp;height=800&amp;_dd2=%26f%3Dsld%26c%3Dtrue%26os%3D373571%26oe%3D373576" xr:uid="{ED354F2A-F500-499C-B11A-F48829A1C056}"/>
    <hyperlink ref="H35" r:id="rId138" display="fdsup://factset/Doc Viewer Single?float_window=true&amp;positioning_strategy=center_on_screen&amp;_doc_docfn=U2FsdGVkX1/jgTyitHkkG9Mr2UldSJ7G56Jk+Ii5ImkFIHSCpdtlrXuc7nu5TB1dyUrlYREH3lc4wWK0oqz5Y6apG6QVxJsGEnmM3CVZE8A=&amp;_app_id=central_doc_viewer&amp;center_on_screen=true&amp;width=950&amp;height=800&amp;_dd2=%26f%3Dsld%26c%3Dtrue%26os%3D232686%26oe%3D232691" xr:uid="{0901993F-0196-4370-AC51-E89EFF83272D}"/>
    <hyperlink ref="I35" r:id="rId139" display="fdsup://factset/Doc Viewer Single?float_window=true&amp;positioning_strategy=center_on_screen&amp;_doc_docfn=U2FsdGVkX1+B2HcvGIIp84M6NruHvm4/sxWWK8bS3fDKskSx1ABWLHEKoxvzpKL7WlFmCUzJ2lxIpls5eXWEHoTNKJGieyZMBHgIo8rk90w=&amp;_app_id=central_doc_viewer&amp;center_on_screen=true&amp;width=950&amp;height=800&amp;_dd2=%26f%3Dsld%26c%3Dtrue%26os%3D231339%26oe%3D231344" xr:uid="{054355A9-8CCB-4841-A075-1A199A4C05AB}"/>
    <hyperlink ref="J35" r:id="rId140" display="fdsup://factset/Doc Viewer Single?float_window=true&amp;positioning_strategy=center_on_screen&amp;_doc_docfn=U2FsdGVkX1+h+uKtDVK0HxQ3m2aKhdO2j9aHwytlUCMTfFDunDQxmEJ/VNKeM3ucikn50y63R3k9xvwTpSek0fuJ4iePiwHyv9eZlvzyCow=&amp;_app_id=central_doc_viewer&amp;center_on_screen=true&amp;width=950&amp;height=800&amp;_dd2=%26f%3Dsld%26c%3Dtrue%26os%3D228791%26oe%3D228794" xr:uid="{12649C75-6CB8-4E15-9134-158F8D711E16}"/>
    <hyperlink ref="K35" r:id="rId141" display="fdsup://factset/Doc Viewer Single?float_window=true&amp;positioning_strategy=center_on_screen&amp;_doc_docfn=U2FsdGVkX1+2F2ToXcQGEV0VmdU8OhgFHZYct1gApDZKjqV8hwyB6LC3SRcUWEbYt7a8XFAk40zisSb80UT1Bie01KLERqSYKei1ISdDlAA=&amp;_app_id=central_doc_viewer&amp;center_on_screen=true&amp;width=950&amp;height=800&amp;_dd2=%26f%3Dsld%26c%3Dtrue%26os%3D231352%26oe%3D231357" xr:uid="{AC26AC9A-6D29-4DC6-A2FA-7F379A686391}"/>
    <hyperlink ref="B36" r:id="rId142" display="fdsup://factset/Doc Viewer Single?float_window=true&amp;positioning_strategy=center_on_screen&amp;_doc_docfn=U2FsdGVkX18JKnmVFBsAoFA3qsJaD3UlIoJos94nPy5FKARsLTIbIG3Aqf7CyrKirfhjZ8UGyJt8eO1WMpN9oMzJQFqpfVuPIlxJIx3p0e4=&amp;_app_id=central_doc_viewer&amp;center_on_screen=true&amp;width=950&amp;height=800&amp;_dd2=%26f%3Dsld%26c%3Dtrue%26os%3D397693%26oe%3D397695" xr:uid="{B00B504D-39B2-4B95-890C-D251D50B872F}"/>
    <hyperlink ref="C36" r:id="rId143" display="fdsup://factset/Doc Viewer Single?float_window=true&amp;positioning_strategy=center_on_screen&amp;_doc_docfn=U2FsdGVkX1/c4R5H/yktfVEBqWsYS0lgB1RGPPfUGOwbsn6aUk9dX74ATEpVUxcsB/ewed/KzNb/C8RcKRxqG9E0eHcOj8pPeVpiD1nl8OY=&amp;_app_id=central_doc_viewer&amp;center_on_screen=true&amp;width=950&amp;height=800&amp;_dd2=%26f%3Dsld%26c%3Dtrue%26os%3D179718%26oe%3D179721" xr:uid="{07AB29F6-A15E-4C73-8857-4DEF7AE30E32}"/>
    <hyperlink ref="D36" r:id="rId144" display="fdsup://factset/Doc Viewer Single?float_window=true&amp;positioning_strategy=center_on_screen&amp;_doc_docfn=U2FsdGVkX1+VQnZkGTgmG3d1xsxa47SwVrY1+aAW5iwWeBQVSKBf/vnHOBvCNWy/qjEJ8NDEwLgG9kK8TnhAhASNKdenR1ALui9I2fovxy0=&amp;_app_id=central_doc_viewer&amp;center_on_screen=true&amp;width=950&amp;height=800&amp;_dd2=%26f%3Dsld%26c%3Dtrue%26os%3D150440%26oe%3D150443" xr:uid="{446ED78B-CB2C-4FEB-80FF-8F5785940C98}"/>
    <hyperlink ref="E36" r:id="rId145" display="fdsup://factset/Doc Viewer Single?float_window=true&amp;positioning_strategy=center_on_screen&amp;_doc_docfn=U2FsdGVkX19SFj7lxgQ0GXiblKCQf+wX8pVgFhHtb20Ljh+lbTo0mSIzJmXI2W0gSwInpHdYE8qwW8RiocOw6/Xtofqs6DsFfGtIQNFBzbY=&amp;_app_id=central_doc_viewer&amp;center_on_screen=true&amp;width=950&amp;height=800&amp;_dd2=%26f%3Dsld%26c%3Dtrue%26os%3D140323%26oe%3D140326" xr:uid="{E240FB4F-EA71-49DF-B81D-A56920E485D0}"/>
    <hyperlink ref="F36" r:id="rId146" display="fdsup://factset/Doc Viewer Single?float_window=true&amp;positioning_strategy=center_on_screen&amp;_doc_docfn=U2FsdGVkX1+48Su7hzPMVgwWd+lrY8Yvc+2TW2G6JOIjPZvna/wiPOPpql8XSdvblgA1xHdSyp/1YIufGNEN03DWV/tWzWY0KjIFGIBqPIw=&amp;_app_id=central_doc_viewer&amp;center_on_screen=true&amp;width=950&amp;height=800&amp;_dd2=%26f%3Dsld%26c%3Dtrue%26os%3D246764%26oe%3D246766" xr:uid="{37DAF29C-0CAB-4D96-B9BF-0EFEAF9BAD1A}"/>
    <hyperlink ref="G36" r:id="rId147" display="fdsup://factset/Doc Viewer Single?float_window=true&amp;positioning_strategy=center_on_screen&amp;_doc_docfn=U2FsdGVkX1/ubV+bTgvgFHlZYhtnZQyq/fVHPUFpPYPTT1DKIcbMEkPnJUQeQ4t6TD4Ot/r+Tw4xUtHuZx4wqSM4i0/wit4ePJVTnkpdGCI=&amp;_app_id=central_doc_viewer&amp;center_on_screen=true&amp;width=950&amp;height=800&amp;_dd2=%26f%3Dsld%26c%3Dtrue%26os%3D374320%26oe%3D374323" xr:uid="{6AFA6089-BEAB-4E52-8CB5-32E0445ACA46}"/>
    <hyperlink ref="H36" r:id="rId148" display="fdsup://factset/Doc Viewer Single?float_window=true&amp;positioning_strategy=center_on_screen&amp;_doc_docfn=U2FsdGVkX19/jYxun533EACbae/IUPL9YXyWswgd4hHCgBirzlrbqX9TMYpOkbPf0Upc4miEETU1jXzL9Xx2QrzQgBn+FQZvkMpyLqd7MTI=&amp;_app_id=central_doc_viewer&amp;center_on_screen=true&amp;width=950&amp;height=800&amp;_dd2=%26f%3Dsld%26c%3Dtrue%26os%3D233438%26oe%3D233441" xr:uid="{CD5CB2C5-7A24-4C2D-B55F-B77C364E089D}"/>
    <hyperlink ref="I36" r:id="rId149" display="fdsup://factset/Doc Viewer Single?float_window=true&amp;positioning_strategy=center_on_screen&amp;_doc_docfn=U2FsdGVkX18F5TmRPkErK87WhE0a0yKFqucC8OkkEbBuTGTl4dRFqUIVsA1Oqg4VWnXGBCyyrQW9Ypr11qlp7oG8vcgW2d3znbjqRQndVe8=&amp;_app_id=central_doc_viewer&amp;center_on_screen=true&amp;width=950&amp;height=800&amp;_dd2=%26f%3Dsld%26c%3Dtrue%26os%3D232091%26oe%3D232094" xr:uid="{07828C2C-3964-42A8-89A6-65EA357F49C4}"/>
    <hyperlink ref="J36" r:id="rId150" display="fdsup://factset/Doc Viewer Single?float_window=true&amp;positioning_strategy=center_on_screen&amp;_doc_docfn=U2FsdGVkX189C1uOyjDaYnjTDP4VIKEjNGAqLaQmI1UK8CFH9oyn/KJu4Y5/M/M9z4vytnXhJeR00DV8bYKDfuaoW1ieubTZLWbraSOcUy4=&amp;_app_id=central_doc_viewer&amp;center_on_screen=true&amp;width=950&amp;height=800&amp;_dd2=%26f%3Dsld%26c%3Dtrue%26os%3D229540%26oe%3D229543" xr:uid="{6BDC631B-B11C-448F-9693-8735F41F1460}"/>
    <hyperlink ref="K36" r:id="rId151" display="fdsup://factset/Doc Viewer Single?float_window=true&amp;positioning_strategy=center_on_screen&amp;_doc_docfn=U2FsdGVkX18LMR16jd5rKsRxKEDzMCaii6olMC6I8wQgAUj5dZUkYe7WD9Aflhoa7cjnbo0NgBKdFZ6fuhTvhfSDtBais9YjfR/um9OeEB8=&amp;_app_id=central_doc_viewer&amp;center_on_screen=true&amp;width=950&amp;height=800&amp;_dd2=%26f%3Dsld%26c%3Dtrue%26os%3D232101%26oe%3D232106" xr:uid="{5036431E-7B9E-4E7C-8106-9B6685669948}"/>
    <hyperlink ref="B37" r:id="rId152" display="fdsup://factset/Doc Viewer Single?float_window=true&amp;positioning_strategy=center_on_screen&amp;_doc_docfn=U2FsdGVkX1/3tD4Vl7aKtpJUghaz9joGOmQGeiIVI3mvIcZH+fWaybalVx+XPBOA59PbMTF8lbPqtU2YzTHMFFRFMLPkOYH1/P+lB3/npKk=&amp;_app_id=central_doc_viewer&amp;center_on_screen=true&amp;width=950&amp;height=800&amp;_dd2=%26f%3Dsld%26c%3Dtrue%26os%3D427052%26oe%3D427060" xr:uid="{C1A48BFE-9213-4AEE-95F3-D0D03079B0EA}"/>
    <hyperlink ref="C37" r:id="rId153" display="fdsup://factset/Doc Viewer Single?float_window=true&amp;positioning_strategy=center_on_screen&amp;_doc_docfn=U2FsdGVkX1+pWyBDNDLLC0V+KhwzkRTGmUbw1FFdeVCl6Vw3v0LFmlrVDCsSeomgcjiNdpIw738qrriBzhpmCQXe7zD6lYFRack5e4Otjtk=&amp;_app_id=central_doc_viewer&amp;center_on_screen=true&amp;width=950&amp;height=800&amp;_dd2=%26f%3Dsld%26c%3Dtrue%26os%3D190285%26oe%3D190293" xr:uid="{51DF4CB8-D417-4576-9FC3-019534E21FD5}"/>
    <hyperlink ref="D37" r:id="rId154" display="fdsup://factset/Doc Viewer Single?float_window=true&amp;positioning_strategy=center_on_screen&amp;_doc_docfn=U2FsdGVkX1+ILCQllySeJ9gIgUTL4JNOskHJPZ3X8tcTLEgHUuTI6lHVlE/PDjyS9OcZIq6ckt+kKZmemQ4QLUY/PqWedk3/Bn5Mykq8hzU=&amp;_app_id=central_doc_viewer&amp;center_on_screen=true&amp;width=950&amp;height=800&amp;_dd2=%26f%3Dsld%26c%3Dtrue%26os%3D161077%26oe%3D161085" xr:uid="{E07BCB2F-28A6-4329-A12B-3011D6FA34AB}"/>
    <hyperlink ref="E37" r:id="rId155" display="fdsup://factset/Doc Viewer Single?float_window=true&amp;positioning_strategy=center_on_screen&amp;_doc_docfn=U2FsdGVkX19sym2UIpCOuh27CeUpswjQuU32QfX9W0Fynu0NObS2YuMKFBDVh7HPyOUTISgdc464u8pHvc1iaoZYnXCbLHr5ZvxlovD/J0U=&amp;_app_id=central_doc_viewer&amp;center_on_screen=true&amp;width=950&amp;height=800&amp;_dd2=%26f%3Dsld%26c%3Dtrue%26os%3D150976%26oe%3D150984" xr:uid="{FDE01995-A6C5-45BC-840C-529D35A2AD61}"/>
    <hyperlink ref="F37" r:id="rId156" display="fdsup://factset/Doc Viewer Single?float_window=true&amp;positioning_strategy=center_on_screen&amp;_doc_docfn=U2FsdGVkX19O1KHcEGogWLXqu0Qks14LaF6zkldkiiNjUhZlDhKkXnWOiGQ2lN4IV6atys+hQbw0Q+tuM87MhFCudOdWr7cVwjqFBUrfUdE=&amp;_app_id=central_doc_viewer&amp;center_on_screen=true&amp;width=950&amp;height=800&amp;_dd2=%26f%3Dsld%26c%3Dtrue%26os%3D255060%26oe%3D255068" xr:uid="{FE7A9997-9282-4FF0-9021-0377D10D77F5}"/>
    <hyperlink ref="G37" r:id="rId157" display="fdsup://factset/Doc Viewer Single?float_window=true&amp;positioning_strategy=center_on_screen&amp;_doc_docfn=U2FsdGVkX19AhQ23GnUPXSvOWzbZ7iwfPRaCCRbnvMGfKWCNH4WVZ5qXgMgJ9zaxFhqvPImTTeq3z8s8BClox27pw936ZJdKiX8j8WhAnH0=&amp;_app_id=central_doc_viewer&amp;center_on_screen=true&amp;width=950&amp;height=800&amp;_dd2=%26f%3Dsld%26c%3Dtrue%26os%3D381865%26oe%3D381873" xr:uid="{C7919DC4-E8FF-4C99-B012-F15DDA09C279}"/>
    <hyperlink ref="H37" r:id="rId158" display="fdsup://factset/Doc Viewer Single?float_window=true&amp;positioning_strategy=center_on_screen&amp;_doc_docfn=U2FsdGVkX19TF3gCLkWIsawdVP6rKboS98QDrlOa0uO18pYmukbnGwWyeCZp4VAnvHAAaqwFVq7EKHEGHQ/hLgGBxgonobtxQY/N6CXFIfE=&amp;_app_id=central_doc_viewer&amp;center_on_screen=true&amp;width=950&amp;height=800&amp;_dd2=%26f%3Dsld%26c%3Dtrue%26os%3D240984%26oe%3D240992" xr:uid="{EEABD3F9-8EA1-4636-814C-102D2D99E7ED}"/>
    <hyperlink ref="I37" r:id="rId159" display="fdsup://factset/Doc Viewer Single?float_window=true&amp;positioning_strategy=center_on_screen&amp;_doc_docfn=U2FsdGVkX18cDIm1AllbIGcHvVvTwKaZOB9ESQmwCP0Guz4EyWLx4IHUwB5VWA2uR9Omi6FvGYG4XlOXD7BDk/wGj4mWa6QKeLCBOu3Nt90=&amp;_app_id=central_doc_viewer&amp;center_on_screen=true&amp;width=950&amp;height=800&amp;_dd2=%26f%3Dsld%26c%3Dtrue%26os%3D239640%26oe%3D239648" xr:uid="{99EF4D90-EDE1-43D6-9E21-BC99210DB37A}"/>
    <hyperlink ref="J37" r:id="rId160" display="fdsup://factset/Doc Viewer Single?float_window=true&amp;positioning_strategy=center_on_screen&amp;_doc_docfn=U2FsdGVkX1+umMMPB0kU/sRHRbPIpmGBnVh9dhMpPn6t4oSU9RfE5L6Om/jyIzkHmCz4YsaamOBQWIF0U9a2A9Tm2zRqOoXJPvLvKTxm0I0=&amp;_app_id=central_doc_viewer&amp;center_on_screen=true&amp;width=950&amp;height=800&amp;_dd2=%26f%3Dsld%26c%3Dtrue%26os%3D237091%26oe%3D237099" xr:uid="{D521DB22-BA6E-445A-9460-99C59224A8EC}"/>
    <hyperlink ref="K37" r:id="rId161" display="fdsup://factset/Doc Viewer Single?float_window=true&amp;positioning_strategy=center_on_screen&amp;_doc_docfn=U2FsdGVkX1/WrHWsVNJG7APGYHdH5BhGJnoSgwiN0O7r8fzE/pbS5sFoilYBX6tp9RCLE+dxhBvBlJPtgU/Dor1+U2vqE/8lehi9OCAa3xM=&amp;_app_id=central_doc_viewer&amp;center_on_screen=true&amp;width=950&amp;height=800&amp;_dd2=%26f%3Dsld%26c%3Dtrue%26os%3D239659%26oe%3D239667" xr:uid="{2966D993-108C-440C-A8D3-32FB8E69788B}"/>
    <hyperlink ref="B38" r:id="rId162" display="fdsup://factset/Doc Viewer Single?float_window=true&amp;positioning_strategy=center_on_screen&amp;_doc_docfn=U2FsdGVkX19K/xMDsa6atrh19tzXYxQ8AYR5zCajUbFpwDtqTUzMnWTuGvJYKyRKqgFWdqRRRnE34KV8SzBO6HBCqkmPh285U3eOsBSbVdo=&amp;_app_id=central_doc_viewer&amp;center_on_screen=true&amp;width=950&amp;height=800&amp;_dd2=%26f%3Dsld%26c%3Dtrue%26os%3D405234%26oe%3D405241" xr:uid="{C186C1A8-CCF5-4F04-BFFD-448A485A3C1C}"/>
    <hyperlink ref="C39" r:id="rId163" display="fdsup://factset/Doc Viewer Single?float_window=true&amp;positioning_strategy=center_on_screen&amp;_doc_docfn=U2FsdGVkX18+48d2D93+FYN0G8ZM7fpvFUiLaVnWVKRd7mRr6wQwD3Izc+CcyDchrGyKWNA/qxrV2AX3UYh4WmK3EVolyXMYCZeCR1uBUGw=&amp;_app_id=central_doc_viewer&amp;center_on_screen=true&amp;width=950&amp;height=800&amp;_dd2=%26f%3Dsld%26c%3Dtrue%26os%3D181748%26oe%3D181756" xr:uid="{FF51D94B-4ABB-4D35-AE21-4DB7C1E60396}"/>
    <hyperlink ref="D39" r:id="rId164" display="fdsup://factset/Doc Viewer Single?float_window=true&amp;positioning_strategy=center_on_screen&amp;_doc_docfn=U2FsdGVkX18vUwAS9EhINwQM3xoz6HauDatLcH/lmkZ0sZMHUncOcqKenUZqvXZ59U5lTp5oGPWwyu/faTK3lJOhhgXL8HP8qJCkwudvmIM=&amp;_app_id=central_doc_viewer&amp;center_on_screen=true&amp;width=950&amp;height=800&amp;_dd2=%26f%3Dsld%26c%3Dtrue%26os%3D152468%26oe%3D152476" xr:uid="{E73295F4-6B7C-4918-8C96-2D31FE0F4780}"/>
    <hyperlink ref="E39" r:id="rId165" display="fdsup://factset/Doc Viewer Single?float_window=true&amp;positioning_strategy=center_on_screen&amp;_doc_docfn=U2FsdGVkX18gdkTxTb6PokMJiDL97LtRwj5g5Sr5zKM1YYrLBlEJy+wvwnm2X5RKc3i+Lvypj8O5nXi3e2ObG3Mp7xN7/qp6VfxFx24dIMg=&amp;_app_id=central_doc_viewer&amp;center_on_screen=true&amp;width=950&amp;height=800&amp;_dd2=%26f%3Dsld%26c%3Dtrue%26os%3D142381%26oe%3D142389" xr:uid="{78B32896-9BAF-4927-BF1A-266E090D0E0E}"/>
    <hyperlink ref="F39" r:id="rId166" display="fdsup://factset/Doc Viewer Single?float_window=true&amp;positioning_strategy=center_on_screen&amp;_doc_docfn=U2FsdGVkX19HDhLxLvXD5i4FHfzDkjmIvnwXjuBBqakbqvNqd5yO213Kj6AvYQDUU95nZLaQjdc3QbHE/v3vfm6uZxrM0FvOdFMKxRwK9nw=&amp;_app_id=central_doc_viewer&amp;center_on_screen=true&amp;width=950&amp;height=800&amp;_dd2=%26f%3Dsld%26c%3Dtrue%26os%3D248668%26oe%3D248676" xr:uid="{956F99D9-1B78-4E01-A547-B2CB361DA65E}"/>
    <hyperlink ref="G39" r:id="rId167" display="fdsup://factset/Doc Viewer Single?float_window=true&amp;positioning_strategy=center_on_screen&amp;_doc_docfn=U2FsdGVkX18NYlOS7ulK+TuMPpIabtIC8sR41Uxrg7kuE5J4mCvZww8OH/mAG2vmnXGfIXTkERuRISkovACofPWwXFRctF/GLBdkySUN3+Q=&amp;_app_id=central_doc_viewer&amp;center_on_screen=true&amp;width=950&amp;height=800&amp;_dd2=%26f%3Dsld%26c%3Dtrue%26os%3D376223%26oe%3D376231" xr:uid="{49858D54-DAB8-49BA-A8E7-E8123BDF516B}"/>
    <hyperlink ref="H39" r:id="rId168" display="fdsup://factset/Doc Viewer Single?float_window=true&amp;positioning_strategy=center_on_screen&amp;_doc_docfn=U2FsdGVkX19FZ/0WKQ6taT8a/olEW+FZtf4I61VO7pIH3ewvcNDM8HuRU8pVPDD5hhUTWzHkgrwxy6wE+nH3s2VbGuZd7RqqHqe8G9LJKR8=&amp;_app_id=central_doc_viewer&amp;center_on_screen=true&amp;width=950&amp;height=800&amp;_dd2=%26f%3Dsld%26c%3Dtrue%26os%3D235341%26oe%3D235349" xr:uid="{59E1358C-EC24-4912-A8FF-6D98BA6546F0}"/>
    <hyperlink ref="I39" r:id="rId169" display="fdsup://factset/Doc Viewer Single?float_window=true&amp;positioning_strategy=center_on_screen&amp;_doc_docfn=U2FsdGVkX198IV+j+5NKN9Yxkh06KWoXR1+uEwe5ywi8CasNJ8N+8B9n/fKzAvwTTlKk0FTKWFRwj65KhP5lL4hEHvU2sg0XKdh8Hq3unr0=&amp;_app_id=central_doc_viewer&amp;center_on_screen=true&amp;width=950&amp;height=800&amp;_dd2=%26f%3Dsld%26c%3Dtrue%26os%3D233996%26oe%3D234004" xr:uid="{EC98E18E-C392-4D50-A566-1079A06A18ED}"/>
    <hyperlink ref="J39" r:id="rId170" display="fdsup://factset/Doc Viewer Single?float_window=true&amp;positioning_strategy=center_on_screen&amp;_doc_docfn=U2FsdGVkX1/4C3PoLq6ZGZvtq4vV0zszvFw7UCuwrHhViqThGymK/C7uh5V3gpGejPAAIZ77PyMEBU4aIzljBA4y4vGWyd5Y2/H/8YBOeBA=&amp;_app_id=central_doc_viewer&amp;center_on_screen=true&amp;width=950&amp;height=800&amp;_dd2=%26f%3Dsld%26c%3Dtrue%26os%3D231447%26oe%3D231455" xr:uid="{96A23093-6DBD-4BA5-AB82-B6216B70A79E}"/>
    <hyperlink ref="K39" r:id="rId171" display="fdsup://factset/Doc Viewer Single?float_window=true&amp;positioning_strategy=center_on_screen&amp;_doc_docfn=U2FsdGVkX1+apAHrcaCLOQXqdsncBMy9y4neZbK/sHR6eFMBRfe8+DNZQgVZ65IexD7As2fsgl/QgkrYwfeaj3YEJMJJSb4I1BUh5bDC7o8=&amp;_app_id=central_doc_viewer&amp;center_on_screen=true&amp;width=950&amp;height=800&amp;_dd2=%26f%3Dsld%26c%3Dtrue%26os%3D234012%26oe%3D234020" xr:uid="{59B0FBB2-3F88-4670-B0D3-DA5BFAA2390B}"/>
    <hyperlink ref="C40" r:id="rId172" display="fdsup://factset/Doc Viewer Single?float_window=true&amp;positioning_strategy=center_on_screen&amp;_doc_docfn=U2FsdGVkX1/ACsYtul4d5q10MwARbOmVirDaSX3+S5cpHn8VTGTja0+I1UEW3M5G7o0L12iQJH1+7CPSbC1CCaSZJkJ8ZCMKn4QWzyEfbXo=&amp;_app_id=central_doc_viewer&amp;center_on_screen=true&amp;width=950&amp;height=800&amp;_dd2=%26f%3Dsld%26c%3Dtrue%26os%3D182610%26oe%3D182613" xr:uid="{9C791CF4-27D0-45C1-87DB-B8D88883436C}"/>
    <hyperlink ref="D40" r:id="rId173" display="fdsup://factset/Doc Viewer Single?float_window=true&amp;positioning_strategy=center_on_screen&amp;_doc_docfn=U2FsdGVkX1/t0wIRyKi4OrQPCdHvOsN+uU0w6Td6ib/pYrdTGfJ1tGFX3HC7R8ue6iOtUoEHJ/EX7QsExYgIfVbmOGiKTDP6D9gxi2EbI9s=&amp;_app_id=central_doc_viewer&amp;center_on_screen=true&amp;width=950&amp;height=800&amp;_dd2=%26f%3Dsld%26c%3Dtrue%26os%3D153329%26oe%3D153331" xr:uid="{E20A9E72-73D1-41FF-96E2-B8C79784977E}"/>
    <hyperlink ref="E40" r:id="rId174" display="fdsup://factset/Doc Viewer Single?float_window=true&amp;positioning_strategy=center_on_screen&amp;_doc_docfn=U2FsdGVkX1+AGPndKg2naXeGaETeTsiz8JRWlcH26YTJQkwaLRsRHbrfUTXBOlVntflLIY3z/I7v2xxu6WnjJG/aih/Fq1MdBnKzcrAORqY=&amp;_app_id=central_doc_viewer&amp;center_on_screen=true&amp;width=950&amp;height=800&amp;_dd2=%26f%3Dsld%26c%3Dtrue%26os%3D143244%26oe%3D143246" xr:uid="{3A065E11-E2E0-4070-A73A-674555AEF1F6}"/>
    <hyperlink ref="F40" r:id="rId175" display="fdsup://factset/Doc Viewer Single?float_window=true&amp;positioning_strategy=center_on_screen&amp;_doc_docfn=U2FsdGVkX1+LcS/iA2owCjtJyJZfI3w8rtFatuJUpbtmSWmDEESd8fhz5LcCwTmi3p97qvMgnisjCuNcewR2CFuzLvCTmKELhiRsmhFMJAg=&amp;_app_id=central_doc_viewer&amp;center_on_screen=true&amp;width=950&amp;height=800&amp;_dd2=%26f%3Dsld%26c%3Dtrue%26os%3D254275%26oe%3D254278" xr:uid="{FB7F7065-4D34-4EB3-987A-C4DB09B0957E}"/>
    <hyperlink ref="G40" r:id="rId176" display="fdsup://factset/Doc Viewer Single?float_window=true&amp;positioning_strategy=center_on_screen&amp;_doc_docfn=U2FsdGVkX18lMjk+YB4aVey7DKlY3k+4G1kePhtdGADcXg3xJTf3LJfwLRV/b4fP55Ls5uy2ItLnRlVBGH/Nm8oIVb+/be9SrpxJAdZTGMs=&amp;_app_id=central_doc_viewer&amp;center_on_screen=true&amp;width=950&amp;height=800&amp;_dd2=%26f%3Dsld%26c%3Dtrue%26os%3D381079%26oe%3D381081" xr:uid="{8908169E-7C56-4A68-96CA-EF9CC4FAD58C}"/>
    <hyperlink ref="H40" r:id="rId177" display="fdsup://factset/Doc Viewer Single?float_window=true&amp;positioning_strategy=center_on_screen&amp;_doc_docfn=U2FsdGVkX1/HL5BVnCAbTr0r/aUdRXo2bZAZ6Yb0qSiy1UnQsmEmjd41xKMXctOYbv0QKv75uu2RJX0ccuUWnC1oIfp7f89yiNQX0XAQ1ro=&amp;_app_id=central_doc_viewer&amp;center_on_screen=true&amp;width=950&amp;height=800&amp;_dd2=%26f%3Dsld%26c%3Dtrue%26os%3D240197%26oe%3D240200" xr:uid="{F58391B2-89C2-4C06-81CA-1DC9C36E8F07}"/>
    <hyperlink ref="I40" r:id="rId178" display="fdsup://factset/Doc Viewer Single?float_window=true&amp;positioning_strategy=center_on_screen&amp;_doc_docfn=U2FsdGVkX1+m4zV5V6s6qsXS2T/i9TenjYTsxqAaMY1dj6zQnbfPsBNXXRZB4MzE1WlHaHHGjvBRTjethjSd+JS9C2LOdx4vtl/zs+dJeXI=&amp;_app_id=central_doc_viewer&amp;center_on_screen=true&amp;width=950&amp;height=800&amp;_dd2=%26f%3Dsld%26c%3Dtrue%26os%3D238851%26oe%3D238856" xr:uid="{051515D7-5D6E-4707-B6EB-F2739157342B}"/>
    <hyperlink ref="J40" r:id="rId179" display="fdsup://factset/Doc Viewer Single?float_window=true&amp;positioning_strategy=center_on_screen&amp;_doc_docfn=U2FsdGVkX19oVKqOD3uNBzP/2r00u+IhkiehK0LAJ7hbzZnVN7EtKowkyKJmAriL0aWlqWmLGZbnAxnbOKk5N66Du+pRsxySCepvh6OYqBM=&amp;_app_id=central_doc_viewer&amp;center_on_screen=true&amp;width=950&amp;height=800&amp;_dd2=%26f%3Dsld%26c%3Dtrue%26os%3D236295%26oe%3D236302" xr:uid="{66CF02E5-906C-482A-8B9A-902A8324E42C}"/>
    <hyperlink ref="K40" r:id="rId180" display="fdsup://factset/Doc Viewer Single?float_window=true&amp;positioning_strategy=center_on_screen&amp;_doc_docfn=U2FsdGVkX18t1ILN3SUA2YDCzo3v5ux/DNBasJatF1yu0cE57b7G/ITjF5tdX08HlqQWz4unf5eFTgay56z64+LygGO9hGmg8x9/r5RtGsY=&amp;_app_id=central_doc_viewer&amp;center_on_screen=true&amp;width=950&amp;height=800&amp;_dd2=%26f%3Dsld%26c%3Dtrue%26os%3D238858%26oe%3D238865" xr:uid="{8F886341-F114-42B9-8FD8-B01C1D917E4B}"/>
    <hyperlink ref="B41" r:id="rId181" display="fdsup://factset/Doc Viewer Single?float_window=true&amp;positioning_strategy=center_on_screen&amp;_doc_docfn=U2FsdGVkX18jSB92M7B892r8fwxOTQrsd3ygh5tjASeAmg2mhGfd8anvXCX+9qmTnWqvkNiH2RZoZPPeJ8zss84H6ot+d4707SA0iTqdRhw=&amp;_app_id=central_doc_viewer&amp;center_on_screen=true&amp;width=950&amp;height=800&amp;_dd2=%26f%3Dsld%26c%3Dtrue%26os%3D408093%26oe%3D408101" xr:uid="{11D6728A-81CB-438D-9754-F5D8897FD292}"/>
    <hyperlink ref="C41" r:id="rId182" display="fdsup://factset/Doc Viewer Single?float_window=true&amp;positioning_strategy=center_on_screen&amp;_doc_docfn=U2FsdGVkX19mOA9YoZj2JfoZYLiQt8g7gBGXL9HESBQ1P+/dm+49irGwdpuDPwLc4+V3BT7hhdKAV7qiXB6gaqqqBZMCAGU35XueTIT9PIo=&amp;_app_id=central_doc_viewer&amp;center_on_screen=true&amp;width=950&amp;height=800&amp;_dd2=%26f%3Dsld%26c%3Dtrue%26os%3D183434%26oe%3D183442" xr:uid="{6C825BCA-5672-460D-A50A-D1ADDFEAEF21}"/>
    <hyperlink ref="D41" r:id="rId183" display="fdsup://factset/Doc Viewer Single?float_window=true&amp;positioning_strategy=center_on_screen&amp;_doc_docfn=U2FsdGVkX1+TREqlENm8U9T8GRCHTaUnZkZMXHRsClAA6RiynbufEZo4AiQYNtL8DMsB/Mo6tIXDoSBab8V+XbHh0sWKtRkLssCdrdHQTTA=&amp;_app_id=central_doc_viewer&amp;center_on_screen=true&amp;width=950&amp;height=800&amp;_dd2=%26f%3Dsld%26c%3Dtrue%26os%3D154154%26oe%3D154162" xr:uid="{A5EBA462-4E31-4AB6-82C3-C6C078F796BD}"/>
    <hyperlink ref="E41" r:id="rId184" display="fdsup://factset/Doc Viewer Single?float_window=true&amp;positioning_strategy=center_on_screen&amp;_doc_docfn=U2FsdGVkX19x+D4McSoO6JC4svdkosNELs1l50Uo3hTyjGMSPCIUzGbNjGh8J7iRsSwflx7kqr9g/Q4Mf+eaP3dcyF/PglH2o//9piOP4Zs=&amp;_app_id=central_doc_viewer&amp;center_on_screen=true&amp;width=950&amp;height=800&amp;_dd2=%26f%3Dsld%26c%3Dtrue%26os%3D144069%26oe%3D144077" xr:uid="{8C582B70-4755-48E8-8E0A-F675DCD193D0}"/>
    <hyperlink ref="F41" r:id="rId185" display="fdsup://factset/Doc Viewer Single?float_window=true&amp;positioning_strategy=center_on_screen&amp;_doc_docfn=U2FsdGVkX1+LJAUs/qUaStx986C/R9sqhJ4BNBwrfijcaz2a2y408Teko5Os1kk5G6pubLnxU2POSf4vbBw8hSSP6DxMlZg9YgPyIyocrL4=&amp;_app_id=central_doc_viewer&amp;center_on_screen=true&amp;width=950&amp;height=800&amp;_dd2=%26f%3Dsld%26c%3Dtrue%26os%3D249458%26oe%3D249467" xr:uid="{63A1AE67-0A28-4DF2-9181-7A684A96E74A}"/>
    <hyperlink ref="G41" r:id="rId186" display="fdsup://factset/Doc Viewer Single?float_window=true&amp;positioning_strategy=center_on_screen&amp;_doc_docfn=U2FsdGVkX1/30KNajP3WOawszrZIADduCxV8RI3fai5xeJDxmPrrk/GxGpJGbAe5udeVtoopVXPxRmq4QR3oqfX5OyVHnaLKFwl98bkCN6o=&amp;_app_id=central_doc_viewer&amp;center_on_screen=true&amp;width=950&amp;height=800&amp;_dd2=%26f%3Dsld%26c%3Dtrue%26os%3D377013%26oe%3D377022" xr:uid="{2C3D8557-1EAA-42DD-86F9-85CB35E05910}"/>
    <hyperlink ref="H41" r:id="rId187" display="fdsup://factset/Doc Viewer Single?float_window=true&amp;positioning_strategy=center_on_screen&amp;_doc_docfn=U2FsdGVkX18hAR1/In34Lgd1w/BtLP+OSzhx9fnK+S4ek/Xu0ERu8ewF4m7RmQDTKi2f1sVpVMPXLjRWedTFrYQaW8zeNTab60I8/FFIbOU=&amp;_app_id=central_doc_viewer&amp;center_on_screen=true&amp;width=950&amp;height=800&amp;_dd2=%26f%3Dsld%26c%3Dtrue%26os%3D236131%26oe%3D236140" xr:uid="{BE56CD4C-E01E-4DFA-AF80-6394A83C2694}"/>
    <hyperlink ref="I41" r:id="rId188" display="fdsup://factset/Doc Viewer Single?float_window=true&amp;positioning_strategy=center_on_screen&amp;_doc_docfn=U2FsdGVkX1/i5/EExfWzCW7P5mDwy7RBj2IH5YJr27R9xb7DjFSBagPBErUg2qmTTXrDE5HIH9IH0V36jWhZ9ZK7U5jRk2hSmZaPNnprlMY=&amp;_app_id=central_doc_viewer&amp;center_on_screen=true&amp;width=950&amp;height=800&amp;_dd2=%26f%3Dsld%26c%3Dtrue%26os%3D234785%26oe%3D234793" xr:uid="{4C12A757-AC57-43FD-8F42-1335F1FB0356}"/>
    <hyperlink ref="J41" r:id="rId189" display="fdsup://factset/Doc Viewer Single?float_window=true&amp;positioning_strategy=center_on_screen&amp;_doc_docfn=U2FsdGVkX18lP9zD+rOdVi9VyxItl/0+QmQfQ8VGu9NK3SIDeLk1y2Gp312CX5adQduksN082M4E5AdDv828VZa2gzrT3xDdphIvRkrlqG0=&amp;_app_id=central_doc_viewer&amp;center_on_screen=true&amp;width=950&amp;height=800&amp;_dd2=%26f%3Dsld%26c%3Dtrue%26os%3D232236%26oe%3D232244" xr:uid="{C7690EE9-5445-4FC5-A985-79451BEB0F2A}"/>
    <hyperlink ref="K41" r:id="rId190" display="fdsup://factset/Doc Viewer Single?float_window=true&amp;positioning_strategy=center_on_screen&amp;_doc_docfn=U2FsdGVkX1+pQHkodIHRfhN9dcP5motA4CZPJGThGaCKP3YLftUhYM6MvZDfNTQDCoe3/fLrAe8E/W6QLU0WHdWFUBMLBsTrvXT+AFkPnCY=&amp;_app_id=central_doc_viewer&amp;center_on_screen=true&amp;width=950&amp;height=800&amp;_dd2=%26f%3Dsld%26c%3Dtrue%26os%3D234801%26oe%3D234809" xr:uid="{19932883-9742-4594-A890-851E1B950674}"/>
    <hyperlink ref="B42" r:id="rId191" display="fdsup://factset/Doc Viewer Single?float_window=true&amp;positioning_strategy=center_on_screen&amp;_doc_docfn=U2FsdGVkX1/OBaOO8Fx6+gw+j72oTz6i3HReAq9ELygOdW2Iq1pmCYndwM6943POUWdrcSCZ0WXRtSnEybmkk/aRX9OhWea5KclXtspR0HA=&amp;_app_id=central_doc_viewer&amp;center_on_screen=true&amp;width=950&amp;height=800&amp;_dd2=%26f%3Dsld%26c%3Dtrue%26os%3D410573%26oe%3D410579" xr:uid="{D9B4EB8C-220D-433B-A020-DA35DEB41D01}"/>
    <hyperlink ref="C42" r:id="rId192" display="fdsup://factset/Doc Viewer Single?float_window=true&amp;positioning_strategy=center_on_screen&amp;_doc_docfn=U2FsdGVkX19wpq69tDis3ThKz+/71qEjNPmSgb7+Wd+3/q5ODv4QhEH32ltV0SrrvWDIaR40jsSns1yKBaE4ciTHs+MvJJUnAHVQPCGcu1U=&amp;_app_id=central_doc_viewer&amp;center_on_screen=true&amp;width=950&amp;height=800&amp;_dd2=%26f%3Dsld%26c%3Dtrue%26os%3D184292%26oe%3D184298" xr:uid="{023ACE36-4CE7-4F99-8D4E-C89E0EE67927}"/>
    <hyperlink ref="D42" r:id="rId193" display="fdsup://factset/Doc Viewer Single?float_window=true&amp;positioning_strategy=center_on_screen&amp;_doc_docfn=U2FsdGVkX1/tlkRjaiNp6HrTOCcN8L52DkZ4UClLekllGOOyUGO8o6oYy5ZavCB3iVQwwy4STiWI702RgYzVyreWPh4i9EGGwvAeKJB+jLg=&amp;_app_id=central_doc_viewer&amp;center_on_screen=true&amp;width=950&amp;height=800&amp;_dd2=%26f%3Dsld%26c%3Dtrue%26os%3D155012%26oe%3D155018" xr:uid="{6C6F97F7-1117-4C76-88ED-476A97B40C7B}"/>
    <hyperlink ref="E42" r:id="rId194" display="fdsup://factset/Doc Viewer Single?float_window=true&amp;positioning_strategy=center_on_screen&amp;_doc_docfn=U2FsdGVkX1+f7KQ5V6TFMVcOfBOHyMotMWdQdV5BUHAaVFVhng45FtpcVvHA4m0b3gSFN81Oh6x7IZf32UecjsCXZvLvxVZ2ZsB00g7syB4=&amp;_app_id=central_doc_viewer&amp;center_on_screen=true&amp;width=950&amp;height=800&amp;_dd2=%26f%3Dsld%26c%3Dtrue%26os%3D144927%26oe%3D144933" xr:uid="{1F960D46-F9C0-4448-B10E-6414B68CDA8E}"/>
    <hyperlink ref="F42" r:id="rId195" display="fdsup://factset/Doc Viewer Single?float_window=true&amp;positioning_strategy=center_on_screen&amp;_doc_docfn=U2FsdGVkX18ZZJf/AnhSJ24PVXpvrh5MSPUFDEI0hYX3Z3M5wEmat89TmMHBN49LVtnIqT+m3rGdzYGb6slb5mYu++LYVhG6V3odLAd/lvU=&amp;_app_id=central_doc_viewer&amp;center_on_screen=true&amp;width=950&amp;height=800&amp;_dd2=%26f%3Dsld%26c%3Dtrue%26os%3D250261%26oe%3D250267" xr:uid="{3E2C940A-3C54-4DB9-A91A-0561C02AD08B}"/>
    <hyperlink ref="G42" r:id="rId196" display="fdsup://factset/Doc Viewer Single?float_window=true&amp;positioning_strategy=center_on_screen&amp;_doc_docfn=U2FsdGVkX1/WVedYM7EnIQ0ZI16uEP1wF+qq0EA3GezdeSX3aJtEZjmjWL66Cy/4Q4VxUoLc1uYCuZABl87vqPmv5mHj6cGWLfNDdy3R+kQ=&amp;_app_id=central_doc_viewer&amp;center_on_screen=true&amp;width=950&amp;height=800&amp;_dd2=%26f%3Dsld%26c%3Dtrue%26os%3D377819%26oe%3D377826" xr:uid="{4EBCC1E3-6B7B-40A4-9B68-F6C2B1A9175E}"/>
    <hyperlink ref="H42" r:id="rId197" display="fdsup://factset/Doc Viewer Single?float_window=true&amp;positioning_strategy=center_on_screen&amp;_doc_docfn=U2FsdGVkX1+LmO59Oq80OD7Yx0IiZCcD2E2KBpUOBCJcz0Y4NOcG7IcfMK7zEtyGXk1dgSekKyVIkZXqq1BOrZP+7bPuwuXXFD0kfw0nUoI=&amp;_app_id=central_doc_viewer&amp;center_on_screen=true&amp;width=950&amp;height=800&amp;_dd2=%26f%3Dsld%26c%3Dtrue%26os%3D236939%26oe%3D236946" xr:uid="{94B02E8D-A99A-4E4B-A812-3144BB88D649}"/>
    <hyperlink ref="I42" r:id="rId198" display="fdsup://factset/Doc Viewer Single?float_window=true&amp;positioning_strategy=center_on_screen&amp;_doc_docfn=U2FsdGVkX19s4cuFv8XpwRkGapt/UhC9QwVeR7lxolsw4uiSGfhIMG7kCetxbAzjC78SivfUXaTdzzlPKXK4r7bdyxjT5Q6q3kaAiGVAako=&amp;_app_id=central_doc_viewer&amp;center_on_screen=true&amp;width=950&amp;height=800&amp;_dd2=%26f%3Dsld%26c%3Dtrue%26os%3D235591%26oe%3D235597" xr:uid="{F6AE9CCB-B781-44CC-828F-4D1667476DBC}"/>
    <hyperlink ref="J42" r:id="rId199" display="fdsup://factset/Doc Viewer Single?float_window=true&amp;positioning_strategy=center_on_screen&amp;_doc_docfn=U2FsdGVkX1/x31s306QWu9v+uQpVPk+3geiYKFHWqrEKnL3rUXG9/beS3M9TZ8DgxNhIyZcxdmlIiE14WFI9cacw9GnSb0zxa7QCoDv1KKQ=&amp;_app_id=central_doc_viewer&amp;center_on_screen=true&amp;width=950&amp;height=800&amp;_dd2=%26f%3Dsld%26c%3Dtrue%26os%3D233040%26oe%3D233046" xr:uid="{F0ECF46A-9D4B-460C-BAA3-8E7877A6FF5D}"/>
    <hyperlink ref="K42" r:id="rId200" display="fdsup://factset/Doc Viewer Single?float_window=true&amp;positioning_strategy=center_on_screen&amp;_doc_docfn=U2FsdGVkX19CxddDTqpLkC4AbB6MGezLDHQ0zAw0IvxjlOe47COhzLO9SHHwhCsK6hMiGbBPJMIn1nY+dBeVoLH1W34Hn5JMgtVqme/0vYs=&amp;_app_id=central_doc_viewer&amp;center_on_screen=true&amp;width=950&amp;height=800&amp;_dd2=%26f%3Dsld%26c%3Dtrue%26os%3D235604%26oe%3D235611" xr:uid="{E7BB49CF-5ADF-45BC-BC3B-A4CEBC3ADB86}"/>
    <hyperlink ref="B43" r:id="rId201" display="fdsup://factset/Doc Viewer Single?float_window=true&amp;positioning_strategy=center_on_screen&amp;_doc_docfn=U2FsdGVkX1+N3Zg2Oi/YwjnCWP4lK8ahFMDSBb9qGkY1klWAP88U7ZJnzIipwUGWHsPpWjZacKRnum4HqptR5n+v7ePcciqVWLObMcTyclA=&amp;_app_id=central_doc_viewer&amp;center_on_screen=true&amp;width=950&amp;height=800&amp;_dd2=%26f%3Dsld%26c%3Dtrue%26os%3D413384%26oe%3D413391" xr:uid="{D8B78E12-1648-4A27-93FD-E08716408D38}"/>
    <hyperlink ref="C44" r:id="rId202" display="fdsup://factset/Doc Viewer Single?float_window=true&amp;positioning_strategy=center_on_screen&amp;_doc_docfn=U2FsdGVkX1890xCwcjd2G+Ab6BO2iXdATtcvgZCaTjJq7ZiA65uUUds+FKj926/Iv//J8yM6d471kiVWO99e9Q42JzQEROus0XTMHV4tjoM=&amp;_app_id=central_doc_viewer&amp;center_on_screen=true&amp;width=950&amp;height=800&amp;_dd2=%26f%3Dsld%26c%3Dtrue%26os%3D185145%26oe%3D185152" xr:uid="{12E2417D-687C-43D5-8397-80774D888F3C}"/>
    <hyperlink ref="D44" r:id="rId203" display="fdsup://factset/Doc Viewer Single?float_window=true&amp;positioning_strategy=center_on_screen&amp;_doc_docfn=U2FsdGVkX1+AKBADJDjjZmO2jCu2TEjN6i2fKHHFtR+5pwkTGKvOSTQ9PkkgWN3Ea9i+vgU9lhYhdYo+Pnrt0wnPvdg4c4voYDRB8JPvLnM=&amp;_app_id=central_doc_viewer&amp;center_on_screen=true&amp;width=950&amp;height=800&amp;_dd2=%26f%3Dsld%26c%3Dtrue%26os%3D155865%26oe%3D155872" xr:uid="{B44D585C-E464-481F-BEB4-1C78D9CAAAA3}"/>
    <hyperlink ref="E44" r:id="rId204" display="fdsup://factset/Doc Viewer Single?float_window=true&amp;positioning_strategy=center_on_screen&amp;_doc_docfn=U2FsdGVkX18XQDAK0aKtwaVqchEr3zM4GCPEgx95I+W/QxwcW8hyVNumFpVbGrnEqkO/55XtOzFGzlGy2ZoYg3OI3D7ilulWMqgvEOA9z14=&amp;_app_id=central_doc_viewer&amp;center_on_screen=true&amp;width=950&amp;height=800&amp;_dd2=%26f%3Dsld%26c%3Dtrue%26os%3D145780%26oe%3D145787" xr:uid="{F41C0176-5593-428B-9F8A-A82CB9A13682}"/>
    <hyperlink ref="F44" r:id="rId205" display="fdsup://factset/Doc Viewer Single?float_window=true&amp;positioning_strategy=center_on_screen&amp;_doc_docfn=U2FsdGVkX1/o4PlQ/Y8kwPp5PXovLotsScMgNMlCkU/p9tA4aet5NESugwPPjQLQGiQ5jpEO3vmwv8ipywruNFE81Kvgtj+ub+BgI2He/O8=&amp;_app_id=central_doc_viewer&amp;center_on_screen=true&amp;width=950&amp;height=800&amp;_dd2=%26f%3Dsld%26c%3Dtrue%26os%3D251058%26oe%3D251065" xr:uid="{5C83DB29-3B0A-4E14-8601-6B87BAA2AA9C}"/>
    <hyperlink ref="G44" r:id="rId206" display="fdsup://factset/Doc Viewer Single?float_window=true&amp;positioning_strategy=center_on_screen&amp;_doc_docfn=U2FsdGVkX1840PZOAee7+KQuNq4G/MTPMVvIjBg102rYq/6y13haQtTmcFlvEX/No3bOmTws11UTJ5yB9bzZi/i+zRZzzIseaAGniedxvIM=&amp;_app_id=central_doc_viewer&amp;center_on_screen=true&amp;width=950&amp;height=800&amp;_dd2=%26f%3Dsld%26c%3Dtrue%26os%3D378617%26oe%3D378624" xr:uid="{2FB705DC-1DA9-4257-B867-A8C44A7A0051}"/>
    <hyperlink ref="H44" r:id="rId207" display="fdsup://factset/Doc Viewer Single?float_window=true&amp;positioning_strategy=center_on_screen&amp;_doc_docfn=U2FsdGVkX1+JYjZ0Dm7Pozof5prmodSX974AsTk2yJYPTOkeVNcxy/5xemEgkahhaeEi9HYREtbWaJ51tKPS4rQ+qJ1Gh3sDozgWFCfEi2s=&amp;_app_id=central_doc_viewer&amp;center_on_screen=true&amp;width=950&amp;height=800&amp;_dd2=%26f%3Dsld%26c%3Dtrue%26os%3D237738%26oe%3D237745" xr:uid="{76899151-FFC7-4CA5-8723-E1B454EAA534}"/>
    <hyperlink ref="I44" r:id="rId208" display="fdsup://factset/Doc Viewer Single?float_window=true&amp;positioning_strategy=center_on_screen&amp;_doc_docfn=U2FsdGVkX1/jMTb6C2VziMYe8NSrGUnzhzLRHhat7fCGVmMZLlIYA9U78qvJSqD6QOeRyZ95Eadj45GlRB2mkpRmfjl6jBTDAbLTL6Y8WHs=&amp;_app_id=central_doc_viewer&amp;center_on_screen=true&amp;width=950&amp;height=800&amp;_dd2=%26f%3Dsld%26c%3Dtrue%26os%3D236391%26oe%3D236398" xr:uid="{8AC1FE0F-4288-4A9F-87C4-CB78DFB67712}"/>
    <hyperlink ref="J44" r:id="rId209" display="fdsup://factset/Doc Viewer Single?float_window=true&amp;positioning_strategy=center_on_screen&amp;_doc_docfn=U2FsdGVkX1+f13nBIi6hJ5xs+GsqtMbD1w2/mUf76fLsOM18npApmJnLvaIt30AYZJrUsr1MN9PSngRfH0suY4b+AzM2gPNBy6EFT8zcv+E=&amp;_app_id=central_doc_viewer&amp;center_on_screen=true&amp;width=950&amp;height=800&amp;_dd2=%26f%3Dsld%26c%3Dtrue%26os%3D233838%26oe%3D233845" xr:uid="{2BD3F50C-7803-4315-AAB4-9FC1853BB41E}"/>
    <hyperlink ref="K44" r:id="rId210" display="fdsup://factset/Doc Viewer Single?float_window=true&amp;positioning_strategy=center_on_screen&amp;_doc_docfn=U2FsdGVkX1/F5X9tLlFTLQWKuuPWUMaRi50GVIFFMgI2evrtLX1wVC6Iy9mWUEVp7gBmy19/hMxI0GdGQn6B76XBI4cX/aUyi3dkwvVj3Dw=&amp;_app_id=central_doc_viewer&amp;center_on_screen=true&amp;width=950&amp;height=800&amp;_dd2=%26f%3Dsld%26c%3Dtrue%26os%3D236401%26oe%3D236408" xr:uid="{1C67692A-B4EA-4BAF-A6E3-33C3D9F7FEC1}"/>
    <hyperlink ref="C45" r:id="rId211" display="fdsup://factset/Doc Viewer Single?float_window=true&amp;positioning_strategy=center_on_screen&amp;_doc_docfn=U2FsdGVkX18Er5uxCw3vd9qyA9zOwWdTjZitO3ZQNvEO/mVlIcpdFjiztV67e2TxfUFgLIFU6mFhdou8GkbJVQDqupU5Z3ztO91mzfw0oYs=&amp;_app_id=central_doc_viewer&amp;center_on_screen=true&amp;width=950&amp;height=800&amp;_dd2=%26f%3Dsld%26c%3Dtrue%26os%3D185989%26oe%3D185992" xr:uid="{BBAB83A3-8BBE-4ABE-A6E1-5AA00423B5A6}"/>
    <hyperlink ref="D45" r:id="rId212" display="fdsup://factset/Doc Viewer Single?float_window=true&amp;positioning_strategy=center_on_screen&amp;_doc_docfn=U2FsdGVkX19sSgMnVSQXjTR1+803Gh5Pm5ri2xvQ++X1OAfikEvpI04WuUFGcUUQfHodIG9Qz2L4JsQwjRCvYwLVxqSelbUaFJUGD5kYMHk=&amp;_app_id=central_doc_viewer&amp;center_on_screen=true&amp;width=950&amp;height=800&amp;_dd2=%26f%3Dsld%26c%3Dtrue%26os%3D156709%26oe%3D156712" xr:uid="{96F60A55-2C69-423D-88CB-65E7929E6DAA}"/>
    <hyperlink ref="E45" r:id="rId213" display="fdsup://factset/Doc Viewer Single?float_window=true&amp;positioning_strategy=center_on_screen&amp;_doc_docfn=U2FsdGVkX1+vkmKPD8vPiGJbeKIQM+N7NxPZNv+Iifd76Z13tu496F5sv3lyX84gzLA8i4W/M09Ia1juz/iIeaBTV33gWP8nYlthMdhRe0A=&amp;_app_id=central_doc_viewer&amp;center_on_screen=true&amp;width=950&amp;height=800&amp;_dd2=%26f%3Dsld%26c%3Dtrue%26os%3D146625%26oe%3D146630" xr:uid="{6CDDB45C-F542-46B8-A043-3D184C05DBA7}"/>
    <hyperlink ref="F45" r:id="rId214" display="fdsup://factset/Doc Viewer Single?float_window=true&amp;positioning_strategy=center_on_screen&amp;_doc_docfn=U2FsdGVkX1+4izjHb1+cb9tpykV68p0driZtL2OKdsaQnDS+OPnT/BeR2eQTh/8GIboWG7W+aKE1Lr0IRCSbCYvYayMo0cAEKLjTf5xCwPE=&amp;_app_id=central_doc_viewer&amp;center_on_screen=true&amp;width=950&amp;height=800&amp;_dd2=%26f%3Dsld%26c%3Dtrue%26os%3D251846%26oe%3D251849" xr:uid="{645B5254-6B33-47C1-86CD-515BEA44C029}"/>
    <hyperlink ref="G45" r:id="rId215" display="fdsup://factset/Doc Viewer Single?float_window=true&amp;positioning_strategy=center_on_screen&amp;_doc_docfn=U2FsdGVkX1+qVXvlT74WDBtGOl5D8CD+N1SSonHazLR0+wNw9U/yrejC8dJTbjXyl+bJubiJeaEkVoURnfIuGfnyHAWZWEoBKoI6s1vXJzg=&amp;_app_id=central_doc_viewer&amp;center_on_screen=true&amp;width=950&amp;height=800&amp;_dd2=%26f%3Dsld%26c%3Dtrue%26os%3D379406%26oe%3D379411" xr:uid="{77CCD6FF-623D-45E5-9323-3549B60E4692}"/>
    <hyperlink ref="H45" r:id="rId216" display="fdsup://factset/Doc Viewer Single?float_window=true&amp;positioning_strategy=center_on_screen&amp;_doc_docfn=U2FsdGVkX18FAsoRWTzrPT9fkz1aff+mU3Yl/QXchGVCWOzmAo1y6iDrP19Bu7dCdPxeizo9/2+S54oXp5WNkXIKQuY9fHbjNxlmCzQ76h0=&amp;_app_id=central_doc_viewer&amp;center_on_screen=true&amp;width=950&amp;height=800&amp;_dd2=%26f%3Dsld%26c%3Dtrue%26os%3D238525%26oe%3D238528" xr:uid="{481AFA88-1AF9-4A95-9269-7F6C9B291003}"/>
    <hyperlink ref="I45" r:id="rId217" display="fdsup://factset/Doc Viewer Single?float_window=true&amp;positioning_strategy=center_on_screen&amp;_doc_docfn=U2FsdGVkX1/7sJi3XRsLa6EJmfnzcjli5E9Og9eODD8B/Xfy66NSRnNWMSS1vD2mPI7uKaG2KW9g+ojrHp/CHb31H5iy+d5cRzT8PbG8sSM=&amp;_app_id=central_doc_viewer&amp;center_on_screen=true&amp;width=950&amp;height=800&amp;_dd2=%26f%3Dsld%26c%3Dtrue%26os%3D237178%26oe%3D237181" xr:uid="{0A5BD785-FEB8-4359-A5B6-D6B54BCD4B6F}"/>
    <hyperlink ref="J45" r:id="rId218" display="fdsup://factset/Doc Viewer Single?float_window=true&amp;positioning_strategy=center_on_screen&amp;_doc_docfn=U2FsdGVkX18yEIsyucSAw84Tp2ig7YiGg+ERGUMvRHLtAYG5L4Yl51YkebJcpBPNEspFClGcUS5QhdoODfYbRC9QPjRwheWiTQnlqqLorZQ=&amp;_app_id=central_doc_viewer&amp;center_on_screen=true&amp;width=950&amp;height=800&amp;_dd2=%26f%3Dsld%26c%3Dtrue%26os%3D234625%26oe%3D234628" xr:uid="{B078C60E-278F-4F44-97CA-7ACE9BBE4506}"/>
    <hyperlink ref="K45" r:id="rId219" display="fdsup://factset/Doc Viewer Single?float_window=true&amp;positioning_strategy=center_on_screen&amp;_doc_docfn=U2FsdGVkX18DOW/N9bjeKDLAD7R16SDOFw9raOcRG1LSW4dS46wrILblPaXol1Zm6ERPIpbA8Gve00K78r404zSjekVMaJA+g+Oa2t/LbGA=&amp;_app_id=central_doc_viewer&amp;center_on_screen=true&amp;width=950&amp;height=800&amp;_dd2=%26f%3Dsld%26c%3Dtrue%26os%3D237188%26oe%3D237191" xr:uid="{B7900A87-273F-46F3-B767-927D07D6EF70}"/>
    <hyperlink ref="B46" r:id="rId220" display="fdsup://factset/Doc Viewer Single?float_window=true&amp;positioning_strategy=center_on_screen&amp;_doc_docfn=U2FsdGVkX18eAWrVJ0KMzxmLX4QTBGumymHTnYeX8rp/Y2Z2AdGRPMS4WvcrUhRbXQHo25vSIWwcFeWPc8bCMxO5W0FPxJA4UrIqgJpVGnQ=&amp;_app_id=central_doc_viewer&amp;center_on_screen=true&amp;width=950&amp;height=800&amp;_dd2=%26f%3Dsld%26c%3Dtrue%26os%3D415950%26oe%3D415955" xr:uid="{12065868-E9CA-4510-8AB6-DA34C5D6A2FC}"/>
    <hyperlink ref="C46" r:id="rId221" display="fdsup://factset/Doc Viewer Single?float_window=true&amp;positioning_strategy=center_on_screen&amp;_doc_docfn=U2FsdGVkX188mOVjRMkvAnOzRoTIJSJ5me9z082J4Z6DK9YujJedEu+q4W0W2PJL23caA5JF7l2h996T/doNq95Bikmweb9DVasCCxf3vxI=&amp;_app_id=central_doc_viewer&amp;center_on_screen=true&amp;width=950&amp;height=800&amp;_dd2=%26f%3Dsld%26c%3Dtrue%26os%3D186848%26oe%3D186855" xr:uid="{3AEF3F2E-FC03-4A28-B6CE-FC10A556C35B}"/>
    <hyperlink ref="D46" r:id="rId222" display="fdsup://factset/Doc Viewer Single?float_window=true&amp;positioning_strategy=center_on_screen&amp;_doc_docfn=U2FsdGVkX1+gkpKeK0f5P27aYM/T1qZ43ihMZ83PDNu/dCMOdEOgc9lT/TfXBqfz5PPzCATloSCOZ6B2mkNzrIageEnhXozbiqk3nn4qugg=&amp;_app_id=central_doc_viewer&amp;center_on_screen=true&amp;width=950&amp;height=800&amp;_dd2=%26f%3Dsld%26c%3Dtrue%26os%3D157559%26oe%3D157560" xr:uid="{B598ABBA-601A-41AC-B8F7-A3FFCBCB1392}"/>
    <hyperlink ref="E46" r:id="rId223" display="fdsup://factset/Doc Viewer Single?float_window=true&amp;positioning_strategy=center_on_screen&amp;_doc_docfn=U2FsdGVkX19mhF11Sh7Ppg4HU9rF28bPP6Hmpz3fJFQWQ6FnIRJFjmfXPtTF+1n0ZvDOes443EYiRtW0chUsJTp78eA6w3qaiDnMKUqXrfg=&amp;_app_id=central_doc_viewer&amp;center_on_screen=true&amp;width=950&amp;height=800&amp;_dd2=%26f%3Dsld%26c%3Dtrue%26os%3D147477%26oe%3D147478" xr:uid="{C2EE1871-D328-473D-8228-51C0EE31CC05}"/>
    <hyperlink ref="B47" r:id="rId224" display="fdsup://factset/Doc Viewer Single?float_window=true&amp;positioning_strategy=center_on_screen&amp;_doc_docfn=U2FsdGVkX1+DZ5gdsAu2b/lzBAO19baW7WRSDA1zv0tNJjiCneGncMeuoQZHqrKmjB9Ba4wz0xR/w39/WOm4dpi2OobCg9avWDRAhxiDj+Y=&amp;_app_id=central_doc_viewer&amp;center_on_screen=true&amp;width=950&amp;height=800&amp;_dd2=%26f%3Dsld%26c%3Dtrue%26os%3D418806%26oe%3D418809" xr:uid="{184157F7-1120-4600-A6D2-011361C47969}"/>
    <hyperlink ref="C47" r:id="rId225" display="fdsup://factset/Doc Viewer Single?float_window=true&amp;positioning_strategy=center_on_screen&amp;_doc_docfn=U2FsdGVkX1+hzz6BbFcqGJHvyQwopy9NwRlSTk1iYCaRKZCiB4E8VvqbOdd7kZBNRwQ5kSZxgIg4xMVBy4f/K79mVqEoYR5SzlfQpUvaRYk=&amp;_app_id=central_doc_viewer&amp;center_on_screen=true&amp;width=950&amp;height=800&amp;_dd2=%26f%3Dsld%26c%3Dtrue%26os%3D187721%26oe%3D187724" xr:uid="{DEFA6FF3-FB4B-4D69-868E-5F888526ABF7}"/>
    <hyperlink ref="D47" r:id="rId226" display="fdsup://factset/Doc Viewer Single?float_window=true&amp;positioning_strategy=center_on_screen&amp;_doc_docfn=U2FsdGVkX1/p7o/4oJC4rIDcK1sxdgWkofhtumqiXU66BebG5JJClTKDLJevEs1C7tsdasEvWTdTLTBt712PH93wFgYbWxt9I+QtJMeUT6M=&amp;_app_id=central_doc_viewer&amp;center_on_screen=true&amp;width=950&amp;height=800&amp;_dd2=%26f%3Dsld%26c%3Dtrue%26os%3D158442%26oe%3D158443" xr:uid="{644574E2-A549-4C87-BC77-939CD50E24FB}"/>
    <hyperlink ref="E47" r:id="rId227" display="fdsup://factset/Doc Viewer Single?float_window=true&amp;positioning_strategy=center_on_screen&amp;_doc_docfn=U2FsdGVkX1/oqrpIdS9lHE5w4zL7A/EWPtBipQs1a/bzo/STayidlcenqigV3Tze7clL/uiT4UUiqhYoCckfZlWgVwfjVNYVdKVhps9HoFM=&amp;_app_id=central_doc_viewer&amp;center_on_screen=true&amp;width=950&amp;height=800&amp;_dd2=%26f%3Dsld%26c%3Dtrue%26os%3D148348%26oe%3D148349" xr:uid="{7CC40573-5B8A-4F1D-852E-45E505F3FB78}"/>
    <hyperlink ref="D48" r:id="rId228" display="fdsup://factset/Doc Viewer Single?float_window=true&amp;positioning_strategy=center_on_screen&amp;_doc_docfn=U2FsdGVkX19i9oK+opp6PjY9lU1o4smobWG8+zm2N3bG1OYn7W3vpm9hmH7kfW6VnUir9DJBXW6v3B0CIh0Vvyq1U6hbxvPC8bsAZKApzWw=&amp;_app_id=central_doc_viewer&amp;center_on_screen=true&amp;width=950&amp;height=800&amp;_dd2=%26f%3Dsld%26c%3Dtrue%26os%3D159379%26oe%3D159384" xr:uid="{D0686040-F026-4D44-81E1-FE60DB78DC29}"/>
    <hyperlink ref="E48" r:id="rId229" display="fdsup://factset/Doc Viewer Single?float_window=true&amp;positioning_strategy=center_on_screen&amp;_doc_docfn=U2FsdGVkX19A5JtiTwil2aqf+6mTqZn6H3rw0KWQ2KBIphBZIahnZXfvRe8WtYi4Ka2UwHNeo6CZYHR1ktuBSuFMe5lIROnUY+NtV2y9wAA=&amp;_app_id=central_doc_viewer&amp;center_on_screen=true&amp;width=950&amp;height=800&amp;_dd2=%26f%3Dsld%26c%3Dtrue%26os%3D149276%26oe%3D149283" xr:uid="{B69E0178-D690-4ABA-8DF2-39319F0B55B4}"/>
    <hyperlink ref="F48" r:id="rId230" display="fdsup://factset/Doc Viewer Single?float_window=true&amp;positioning_strategy=center_on_screen&amp;_doc_docfn=U2FsdGVkX1+7yeOWJEbYVTv+GU3q8ov5mmcWqbyqnLs+OWSI6iYakFRmq/t5CBhfqPZoZ9r7x8yvbKBk15kkGGIUTjMupppzod14dcIZXc8=&amp;_app_id=central_doc_viewer&amp;center_on_screen=true&amp;width=950&amp;height=800&amp;_dd2=%26f%3Dsld%26c%3Dtrue%26os%3D252693%26oe%3D252700" xr:uid="{F84BB2F9-3066-4986-96B2-971BBE272A6F}"/>
    <hyperlink ref="G48" r:id="rId231" display="fdsup://factset/Doc Viewer Single?float_window=true&amp;positioning_strategy=center_on_screen&amp;_doc_docfn=U2FsdGVkX1+GJjT5g9UjnQqyUEACDdZSmXFNaEP5z7xFgKZgDJY8DwsxrhsJHPq0NTMomXhsXqdtLe6a+CH1grjQ7YNIrJE9SqSISmNziZ4=&amp;_app_id=central_doc_viewer&amp;center_on_screen=true&amp;width=950&amp;height=800&amp;_dd2=%26f%3Dsld%26c%3Dtrue%26os%3D380254%26oe%3D380259" xr:uid="{7EB57A95-AE1C-4C8B-AA61-EBB44487FB25}"/>
    <hyperlink ref="H48" r:id="rId232" display="fdsup://factset/Doc Viewer Single?float_window=true&amp;positioning_strategy=center_on_screen&amp;_doc_docfn=U2FsdGVkX1+woAFgt516xr42BQNzuv/AmGgoOPmk1poAGZ6A7Y8IOq8t1VgCAfxMpXRepbte8iczd4z+BBCMyYUFU32KyM0S/MGMSc2VwAc=&amp;_app_id=central_doc_viewer&amp;center_on_screen=true&amp;width=950&amp;height=800&amp;_dd2=%26f%3Dsld%26c%3Dtrue%26os%3D239372%26oe%3D239379" xr:uid="{E780422C-2A79-4279-A2E7-90171C114662}"/>
    <hyperlink ref="I48" r:id="rId233" display="fdsup://factset/Doc Viewer Single?float_window=true&amp;positioning_strategy=center_on_screen&amp;_doc_docfn=U2FsdGVkX18NDzHHDKiLln794U54Y0OTuduib8SRHYCB08iWPMUAXOn/KBkxFeB70kLZK3qf94+GnS9QONH67MeVmTH2FnlT8JGzEKC/LCU=&amp;_app_id=central_doc_viewer&amp;center_on_screen=true&amp;width=950&amp;height=800&amp;_dd2=%26f%3Dsld%26c%3Dtrue%26os%3D238025%26oe%3D238032" xr:uid="{140D71AF-8B6D-4E1D-8ABC-60496949E941}"/>
    <hyperlink ref="J48" r:id="rId234" display="fdsup://factset/Doc Viewer Single?float_window=true&amp;positioning_strategy=center_on_screen&amp;_doc_docfn=U2FsdGVkX1/FWfQnkzpLXLIFyNXSqFxw5FzUh8Z8nP5JWE7qtWo7dXVi/ly8YrjzIYa+PmjVLJKGOv+QtOAsYXKT9Nie08DXg2jvxFT4X1Y=&amp;_app_id=central_doc_viewer&amp;center_on_screen=true&amp;width=950&amp;height=800&amp;_dd2=%26f%3Dsld%26c%3Dtrue%26os%3D235468%26oe%3D235473" xr:uid="{D27271CB-BAA4-4983-90AD-2BDE236A4AD5}"/>
    <hyperlink ref="K48" r:id="rId235" display="fdsup://factset/Doc Viewer Single?float_window=true&amp;positioning_strategy=center_on_screen&amp;_doc_docfn=U2FsdGVkX1/0PqQblfk+d5MmQ1p2ngXdXFXMv7oFgm9KLWDqrltaS8CQRcO9GLQsU+POACBAGTHSn2GjD6k6cfijL1WtLMyxr3QXaGgY9nA=&amp;_app_id=central_doc_viewer&amp;center_on_screen=true&amp;width=950&amp;height=800&amp;_dd2=%26f%3Dsld%26c%3Dtrue%26os%3D238032%26oe%3D238039" xr:uid="{2BAAC673-AFE2-42CA-824A-8D2010649EDA}"/>
    <hyperlink ref="B49" r:id="rId236" display="fdsup://factset/Doc Viewer Single?float_window=true&amp;positioning_strategy=center_on_screen&amp;_doc_docfn=U2FsdGVkX18L8pNPrOZx9FgKSoPhI5EyOn7Lz8ILnQlqe5nVEiZYcs0c1Xi1ueqdqFmStmMYAajC+ysgwoulMnePZjLY9sNDd4yqL8x5jJM=&amp;_app_id=central_doc_viewer&amp;center_on_screen=true&amp;width=950&amp;height=800&amp;_dd2=%26f%3Dsld%26c%3Dtrue%26os%3D421201%26oe%3D421202" xr:uid="{13E9B2BD-501C-44E3-B9A5-D32D5382CAA6}"/>
    <hyperlink ref="C49" r:id="rId237" display="fdsup://factset/Doc Viewer Single?float_window=true&amp;positioning_strategy=center_on_screen&amp;_doc_docfn=U2FsdGVkX18tJ7P1VGFwpONStd9n98ga57YFVwilUm/JO09I/ROzEU1t+afFjQVS/rDjroZFXrkYRSAfd+vLnjjbvMDB58tA26KUPoNIZ9w=&amp;_app_id=central_doc_viewer&amp;center_on_screen=true&amp;width=950&amp;height=800&amp;_dd2=%26f%3Dsld%26c%3Dtrue%26os%3D188530%26oe%3D188531" xr:uid="{CAED818B-442D-4FD3-8B4A-4EA4D676A2C2}"/>
    <hyperlink ref="B50" r:id="rId238" display="fdsup://factset/Doc Viewer Single?float_window=true&amp;positioning_strategy=center_on_screen&amp;_doc_docfn=U2FsdGVkX18kzIzyh9NCf4QEhDhYXOCiGbL5VRIzJNYIXN/j0NRGWGJWrrxh4XFmf+OrBGa76noMg6iocSamVJFMTbtbU2uQvO8GAIOgdsA=&amp;_app_id=central_doc_viewer&amp;center_on_screen=true&amp;width=950&amp;height=800&amp;_dd2=%26f%3Dsld%26c%3Dtrue%26os%3D424000%26oe%3D424005" xr:uid="{3F1B9ED3-94B7-4FD2-8AA7-CEC472C54628}"/>
    <hyperlink ref="C50" r:id="rId239" display="fdsup://factset/Doc Viewer Single?float_window=true&amp;positioning_strategy=center_on_screen&amp;_doc_docfn=U2FsdGVkX1+6buCLOiQABGliyzAKQGn+oPyn3p1+fQrWV/2CFDwVauwG+Mz31/kN0k8f5P5KgtF0LJR1SFheWuXb9llOpQewB2dTPLeVaos=&amp;_app_id=central_doc_viewer&amp;center_on_screen=true&amp;width=950&amp;height=800&amp;_dd2=%26f%3Dsld%26c%3Dtrue%26os%3D189397%26oe%3D189402" xr:uid="{6B3054F4-E24D-4CEB-81BB-70B2F130CEAE}"/>
    <hyperlink ref="D51" r:id="rId240" display="fdsup://factset/Doc Viewer Single?float_window=true&amp;positioning_strategy=center_on_screen&amp;_doc_docfn=U2FsdGVkX19xhxfhwAi2x+caoaXGMmAqN9iOc4jeFre9KVX2M5rFLr4BnDi2RQRB46DefZ1bstlJPieGHXxqZS1GgRPcbeAii0bJoxHJwXQ=&amp;_app_id=central_doc_viewer&amp;center_on_screen=true&amp;width=950&amp;height=800&amp;_dd2=%26f%3Dsld%26c%3Dtrue%26os%3D160266%26oe%3D160271" xr:uid="{8E7DC01D-B048-4D30-B3E4-4FB3C7D4732E}"/>
    <hyperlink ref="E51" r:id="rId241" display="fdsup://factset/Doc Viewer Single?float_window=true&amp;positioning_strategy=center_on_screen&amp;_doc_docfn=U2FsdGVkX1+ccZOIAi0SpFUOtpfrx0SxOHULab/+KNSXN4Z61ttHag52ApOYOjFJD+RNtp+LIyK06lKujQr2E5GgD/Kqkj0/xQU3O3juLf8=&amp;_app_id=central_doc_viewer&amp;center_on_screen=true&amp;width=950&amp;height=800&amp;_dd2=%26f%3Dsld%26c%3Dtrue%26os%3D150156%26oe%3D150157" xr:uid="{663762D8-00BE-47A0-9902-F4667F108669}"/>
    <hyperlink ref="F51" r:id="rId242" display="fdsup://factset/Doc Viewer Single?float_window=true&amp;positioning_strategy=center_on_screen&amp;_doc_docfn=U2FsdGVkX1/zDGM/qb+hC4AdSYm8OEgI1ygOhpDkpVOlQZ4Sbz5rnsIURd1NbcqPU2xJlKt+51LjAfHcoSJxFrYhFTZqtksflRK8MYw8Eog=&amp;_app_id=central_doc_viewer&amp;center_on_screen=true&amp;width=950&amp;height=800&amp;_dd2=%26f%3Dsld%26c%3Dtrue%26os%3D253520%26oe%3D253521" xr:uid="{D96646B5-E1D4-464C-8799-138FE7940E2E}"/>
    <hyperlink ref="B52" r:id="rId243" display="fdsup://factset/Doc Viewer Single?float_window=true&amp;positioning_strategy=center_on_screen&amp;_doc_docfn=U2FsdGVkX1/74m/vW8qGS+g3ROsK1Ta6YdayZ/PgNA4b9yj4qGmX4bIzZOWrZbX/2VgYVZv6hCW9DHcrBtSUMVcCr8iYWe22fo2EGOb1wUQ=&amp;_app_id=central_doc_viewer&amp;center_on_screen=true&amp;width=950&amp;height=800&amp;_dd2=%26f%3Dsld%26c%3Dtrue%26os%3D447985%26oe%3D447992" xr:uid="{A47FCBA3-84AC-40DB-89D7-06F3F9402437}"/>
    <hyperlink ref="C52" r:id="rId244" display="fdsup://factset/Doc Viewer Single?float_window=true&amp;positioning_strategy=center_on_screen&amp;_doc_docfn=U2FsdGVkX1+hv3sLFJRp5fjjXVTw2pvQbWg3mA0qCJnNqk/8b5moo67woScuLtG6UO8BtAbe7HSBb/P2vN7VAMSxjSrbmOgLKjT+fgR7vo8=&amp;_app_id=central_doc_viewer&amp;center_on_screen=true&amp;width=950&amp;height=800&amp;_dd2=%26f%3Dsld%26c%3Dtrue%26os%3D195533%26oe%3D195540" xr:uid="{F7EF65FB-1D63-476A-8D79-6E154D018049}"/>
    <hyperlink ref="D52" r:id="rId245" display="fdsup://factset/Doc Viewer Single?float_window=true&amp;positioning_strategy=center_on_screen&amp;_doc_docfn=U2FsdGVkX196PU4jaLrixA3ai7A/z9jW5HIBwWCPZIz0tRCMrD0DhfKODeGvXclH3MnCCo9Hrx9hc1ouI0V3uK/e9Oz5ak7exebvOQBO+Hw=&amp;_app_id=central_doc_viewer&amp;center_on_screen=true&amp;width=950&amp;height=800&amp;_dd2=%26f%3Dsld%26c%3Dtrue%26os%3D167198%26oe%3D167205" xr:uid="{BEA27B79-98B0-463D-AB0A-0E832EAB6ECD}"/>
    <hyperlink ref="E52" r:id="rId246" display="fdsup://factset/Doc Viewer Single?float_window=true&amp;positioning_strategy=center_on_screen&amp;_doc_docfn=U2FsdGVkX1+QJxk3Rz+R7GF84/CIrvjEMrxYeNIcIBxd8K7M6ssV7FCeg5EfICuW/SP2yVVFka7/AUs0dtysTg6ejiOCgMN+O0p++vn8Ht0=&amp;_app_id=central_doc_viewer&amp;center_on_screen=true&amp;width=950&amp;height=800&amp;_dd2=%26f%3Dsld%26c%3Dtrue%26os%3D156348%26oe%3D156356" xr:uid="{41D8882E-BAE8-42E2-BB35-4AFEC5CD4765}"/>
    <hyperlink ref="F52" r:id="rId247" display="fdsup://factset/Doc Viewer Single?float_window=true&amp;positioning_strategy=center_on_screen&amp;_doc_docfn=U2FsdGVkX1/spx9AfDFt9g8eUzz6bdXEr3xOFZPx5YHChB7KkgbkSsjtjxgiOl71kjjF/31vx4/5S+4SF/TTNonVmoTCWH7MeVXKzmpQZfU=&amp;_app_id=central_doc_viewer&amp;center_on_screen=true&amp;width=950&amp;height=800&amp;_dd2=%26f%3Dsld%26c%3Dtrue%26os%3D260075%26oe%3D260083" xr:uid="{6FD16887-A563-4F9B-B19D-CF328A796184}"/>
    <hyperlink ref="G52" r:id="rId248" display="fdsup://factset/Doc Viewer Single?float_window=true&amp;positioning_strategy=center_on_screen&amp;_doc_docfn=U2FsdGVkX19XYF1VJ/1G8Zu79KGsfnL2blygKNd2IdRh6obuSaIoO62hF22R9bBaYUx065Vwu8XPhVsMfw5p++zYxdq3RJiMFJbNSdCkL34=&amp;_app_id=central_doc_viewer&amp;center_on_screen=true&amp;width=950&amp;height=800&amp;_dd2=%26f%3Dsld%26c%3Dtrue%26os%3D386892%26oe%3D386900" xr:uid="{1D0A693F-08D4-4EF3-8D77-E21096527982}"/>
    <hyperlink ref="H52" r:id="rId249" display="fdsup://factset/Doc Viewer Single?float_window=true&amp;positioning_strategy=center_on_screen&amp;_doc_docfn=U2FsdGVkX19FP/io6hPL4SRtwArPRKpeTbaXkDkuqr93LRFS9rFKE6gRDVSje6v62v83JQ/mCaml+rgWgulTs2/fFjdql58HwXhMNYrAuno=&amp;_app_id=central_doc_viewer&amp;center_on_screen=true&amp;width=950&amp;height=800&amp;_dd2=%26f%3Dsld%26c%3Dtrue%26os%3D246030%26oe%3D246038" xr:uid="{751C1BBD-D357-43C7-8CA2-EC12AB16D97F}"/>
    <hyperlink ref="I52" r:id="rId250" display="fdsup://factset/Doc Viewer Single?float_window=true&amp;positioning_strategy=center_on_screen&amp;_doc_docfn=U2FsdGVkX1+U+i+J4xlBl98QIVYGnYlQCT/2kxAjCTu+CipdHihgubuCj5oSso7L3SPE0e/hU8OFZjyRf5xFKGkNUI22ALo2ULtsclyzCRQ=&amp;_app_id=central_doc_viewer&amp;center_on_screen=true&amp;width=950&amp;height=800&amp;_dd2=%26f%3Dsld%26c%3Dtrue%26os%3D244675%26oe%3D244683" xr:uid="{123FDA7F-1507-4302-86F2-68487AB60CE3}"/>
    <hyperlink ref="J52" r:id="rId251" display="fdsup://factset/Doc Viewer Single?float_window=true&amp;positioning_strategy=center_on_screen&amp;_doc_docfn=U2FsdGVkX18r9Y4IntuIteZBM7oba21xhWS4PiCWHGE/9LgUsfO8WWtuIY+sl4F2GxKz9lmVugXgCInyxkKi5Tg/TwDjhNv2pAXiZbmo30k=&amp;_app_id=central_doc_viewer&amp;center_on_screen=true&amp;width=950&amp;height=800&amp;_dd2=%26f%3Dsld%26c%3Dtrue%26os%3D242121%26oe%3D242129" xr:uid="{2A736844-8ACA-4ECD-A3AA-5AEDDA5FDEC9}"/>
    <hyperlink ref="K52" r:id="rId252" display="fdsup://factset/Doc Viewer Single?float_window=true&amp;positioning_strategy=center_on_screen&amp;_doc_docfn=U2FsdGVkX19RMhoMGEBdX1aYws1/hz6HAydJpqjnfOy9bYFuQCh6e+1B4Y6blJsg0eRj+3NR9wl36COH7SYr7TXDxOSvhmTr75dXqnDZS9A=&amp;_app_id=central_doc_viewer&amp;center_on_screen=true&amp;width=950&amp;height=800&amp;_dd2=%26f%3Dsld%26c%3Dtrue%26os%3D245364%26oe%3D245372" xr:uid="{8128639B-9B96-4FFA-B046-7FCF14884FD5}"/>
    <hyperlink ref="B53" r:id="rId253" display="fdsup://factset/Doc Viewer Single?float_window=true&amp;positioning_strategy=center_on_screen&amp;_doc_docfn=U2FsdGVkX1+UjiPehI7f5/ES4OIwzqqVQonCv/FfTemy68/c7HFTYkW5uyCW0A2OWvxi2SGE2fGIvwcXAQXX1NLyZ+CA0lpJ/Dggbo5hrME=&amp;_app_id=central_doc_viewer&amp;center_on_screen=true&amp;width=950&amp;height=800&amp;_dd2=%26f%3Dsld%26c%3Dtrue%26os%3D431785%26oe%3D431792" xr:uid="{C75B1765-7BEF-4A58-BB53-1D796D981A02}"/>
    <hyperlink ref="C53" r:id="rId254" display="fdsup://factset/Doc Viewer Single?float_window=true&amp;positioning_strategy=center_on_screen&amp;_doc_docfn=U2FsdGVkX1/KaqatO91Ge91gRlg+xYM/AYn0i/wo0TMMRrMjxSCkDwEJ/Z9M3+4Ryxbea5DtH1zEwe3cgM0HvtXJfBKVk3em51gGpULIxzk=&amp;_app_id=central_doc_viewer&amp;center_on_screen=true&amp;width=950&amp;height=800&amp;_dd2=%26f%3Dsld%26c%3Dtrue%26os%3D191530%26oe%3D191537" xr:uid="{82C93A13-4B50-4CFD-A9FD-6F520DCEFAF2}"/>
    <hyperlink ref="D53" r:id="rId255" display="fdsup://factset/Doc Viewer Single?float_window=true&amp;positioning_strategy=center_on_screen&amp;_doc_docfn=U2FsdGVkX1+cUFueGS9E1/2SpK2GiIiEZ6OJz2C+ahEOZ/INdB5QHHXvQiHCcJMqG4+11xXZmsWfIK/9ubV13uWpAXA4g0hmsH0ZCRa5SBI=&amp;_app_id=central_doc_viewer&amp;center_on_screen=true&amp;width=950&amp;height=800&amp;_dd2=%26f%3Dsld%26c%3Dtrue%26os%3D162322%26oe%3D162329" xr:uid="{3BFC9604-41B4-48D3-B9BC-0F6B779229F5}"/>
    <hyperlink ref="E53" r:id="rId256" display="fdsup://factset/Doc Viewer Single?float_window=true&amp;positioning_strategy=center_on_screen&amp;_doc_docfn=U2FsdGVkX1/2oBhgf/CINlDDPbgSv8fXPA6hBGk1pNDymD5XUtr9yVtN+FyNLYtb5YS+XUfY5ZIXddQCK54X2PRx2Yb5+0buSycfRd4M2W4=&amp;_app_id=central_doc_viewer&amp;center_on_screen=true&amp;width=950&amp;height=800&amp;_dd2=%26f%3Dsld%26c%3Dtrue%26os%3D152221%26oe%3D152228" xr:uid="{5D4BFC2C-DFA5-4F5A-8630-60E00725CAC7}"/>
    <hyperlink ref="F53" r:id="rId257" display="fdsup://factset/Doc Viewer Single?float_window=true&amp;positioning_strategy=center_on_screen&amp;_doc_docfn=U2FsdGVkX18xMeKRTeEl0xPy2EbhR7vEBARYsSPgJWSMkSgz/kxEQS0cdn4qnW5tcEJR2NVxZM/fq0G0OIWWlh48EFfq2G/IKJ4QTXUwD2U=&amp;_app_id=central_doc_viewer&amp;center_on_screen=true&amp;width=950&amp;height=800&amp;_dd2=%26f%3Dsld%26c%3Dtrue%26os%3D256208%26oe%3D256215" xr:uid="{6EE6498B-BAC4-4714-8E41-873547DE59C2}"/>
    <hyperlink ref="G53" r:id="rId258" display="fdsup://factset/Doc Viewer Single?float_window=true&amp;positioning_strategy=center_on_screen&amp;_doc_docfn=U2FsdGVkX1+w17N/DXIJi1ZP/eUPOyVQG1ZhLVgTAhmlGCMBmX6hkb0LxlSJ88kJvGfWKwnF1IWzc8DbYdwK48QLOrF66AU5Yi6rw4rizTI=&amp;_app_id=central_doc_viewer&amp;center_on_screen=true&amp;width=950&amp;height=800&amp;_dd2=%26f%3Dsld%26c%3Dtrue%26os%3D383013%26oe%3D383020" xr:uid="{C74CF7A3-0BC0-4154-9A31-B239A50D3DB7}"/>
    <hyperlink ref="H53" r:id="rId259" display="fdsup://factset/Doc Viewer Single?float_window=true&amp;positioning_strategy=center_on_screen&amp;_doc_docfn=U2FsdGVkX1/DJuGSDX1qbIEP7KGQovcdE6py+bvABpRusECtWboegchgk+dj05C3tj6XVYbYSJSQuR9JYZJMZ4psB1WkcFJFjC5rJ0b3HbI=&amp;_app_id=central_doc_viewer&amp;center_on_screen=true&amp;width=950&amp;height=800&amp;_dd2=%26f%3Dsld%26c%3Dtrue%26os%3D242133%26oe%3D242141" xr:uid="{2E53BFC9-02BB-45FE-9F3A-7160A0FFD3F4}"/>
    <hyperlink ref="I53" r:id="rId260" display="fdsup://factset/Doc Viewer Single?float_window=true&amp;positioning_strategy=center_on_screen&amp;_doc_docfn=U2FsdGVkX18xTEwlRshSQeJS0cxXJEiA8Jk/M9NQip38t9XAdkTHAkOc6ZYe0jy41gr4QVL+vt0IPv9ol8tmSR8e9Y9eqh5dc/ly6k8aFUo=&amp;_app_id=central_doc_viewer&amp;center_on_screen=true&amp;width=950&amp;height=800&amp;_dd2=%26f%3Dsld%26c%3Dtrue%26os%3D240788%26oe%3D240795" xr:uid="{01D21A87-D5E1-40D3-A2D1-ED61F89112B4}"/>
    <hyperlink ref="J53" r:id="rId261" display="fdsup://factset/Doc Viewer Single?float_window=true&amp;positioning_strategy=center_on_screen&amp;_doc_docfn=U2FsdGVkX1+oqWoUZvvNpAc6tK5OB9Io0SYFWB5sAc9d00QOetg5k1acx9dIYBxbx+QAql0AC1meZhoPirj8xhBuJhrp2rlxNMNND97rhA0=&amp;_app_id=central_doc_viewer&amp;center_on_screen=true&amp;width=950&amp;height=800&amp;_dd2=%26f%3Dsld%26c%3Dtrue%26os%3D238239%26oe%3D238246" xr:uid="{E591201B-2CDD-4459-9169-312A7E45C9D4}"/>
    <hyperlink ref="K53" r:id="rId262" display="fdsup://factset/Doc Viewer Single?float_window=true&amp;positioning_strategy=center_on_screen&amp;_doc_docfn=U2FsdGVkX18uhXsHUJqrWp89sPz9hPpHQ9l+OYlLL7k+cl4pNqRwPq6XPOT01eEAVWnN4M6mRdpuRDXm6EynV5otIfM7s3oexDEa/VsTiOo=&amp;_app_id=central_doc_viewer&amp;center_on_screen=true&amp;width=950&amp;height=800&amp;_dd2=%26f%3Dsld%26c%3Dtrue%26os%3D240808%26oe%3D240816" xr:uid="{5977E4F1-6879-47AC-88C3-0727BEE4517C}"/>
    <hyperlink ref="B55" r:id="rId263" display="fdsup://factset/Doc Viewer Single?float_window=true&amp;positioning_strategy=center_on_screen&amp;_doc_docfn=U2FsdGVkX18Z7BtcT5Ir7MYuAgGuDW+3wdjtZtgo0GU2dlkVbCpOi30//uqqizCdpKfVhu+9CxnqEd0MpfxVbgKQAj4EaheO0/nhreIiOsA=&amp;_app_id=central_doc_viewer&amp;center_on_screen=true&amp;width=950&amp;height=800&amp;_dd2=%26f%3Dsld%26c%3Dtrue%26os%3D434513%26oe%3D434516" xr:uid="{A22C6F03-865A-45A9-A634-E8B301E4C00E}"/>
    <hyperlink ref="B59" r:id="rId264" display="fdsup://factset/Doc Viewer Single?float_window=true&amp;positioning_strategy=center_on_screen&amp;_doc_docfn=U2FsdGVkX1/S/n0PexxMFrlUdy9SwGQSKfqd/4uBPlYux8ldVrdOGUpWmSr813iyYvv28aZzwwWSFEkyk9jeQYqSRrcvjt2V3URSZs2j6hs=&amp;_app_id=central_doc_viewer&amp;center_on_screen=true&amp;width=950&amp;height=800&amp;_dd2=%26f%3Dsld%26c%3Dtrue%26os%3D436933%26oe%3D436937" xr:uid="{40F5A86B-0CE8-4665-B337-0BAD1B4F504F}"/>
    <hyperlink ref="C59" r:id="rId265" display="fdsup://factset/Doc Viewer Single?float_window=true&amp;positioning_strategy=center_on_screen&amp;_doc_docfn=U2FsdGVkX19x3gScwgJDgeG0Wm7DSefoPq0/Twk9JojVSaEj/lUZmr2JyS2ooALyeUhvDJsheDT4yZCU/FbduuwfCGvePc6HofBP91aF0fI=&amp;_app_id=central_doc_viewer&amp;center_on_screen=true&amp;width=950&amp;height=800&amp;_dd2=%26f%3Dsld%26c%3Dtrue%26os%3D192374%26oe%3D192375" xr:uid="{FE3C80EF-AC1B-44B7-8E59-C779F72D0494}"/>
    <hyperlink ref="D59" r:id="rId266" display="fdsup://factset/Doc Viewer Single?float_window=true&amp;positioning_strategy=center_on_screen&amp;_doc_docfn=U2FsdGVkX189/qbkKyWBksS2CMLfWg2ZeXI5Er0+PDuL3EHuRjpW/eu0XxDrOpJMM9BQxXc9IarAgws27Qdsj6e/OTJbDhFUYxVxWysVtlU=&amp;_app_id=central_doc_viewer&amp;center_on_screen=true&amp;width=950&amp;height=800&amp;_dd2=%26f%3Dsld%26c%3Dtrue%26os%3D163166%26oe%3D163167" xr:uid="{C3A3DD7E-41A9-4A27-AD1A-57E17E8B2F0E}"/>
    <hyperlink ref="B60" r:id="rId267" display="fdsup://factset/Doc Viewer Single?float_window=true&amp;positioning_strategy=center_on_screen&amp;_doc_docfn=U2FsdGVkX19g9B2C6yOs6Q+5wVTbzVtZirI4eHeNPYqOvtPbbdwJCFaEjig9sF9B29r6zR9zvyC60rI6SAQcPHDTJ/ZGn32Cc5ocK5hkRFk=&amp;_app_id=central_doc_viewer&amp;center_on_screen=true&amp;width=950&amp;height=800&amp;_dd2=%26f%3Dsld%26c%3Dtrue%26os%3D439662%26oe%3D439669" xr:uid="{9F7DC50C-673D-4CCD-AB76-3D0990B6DD34}"/>
    <hyperlink ref="C60" r:id="rId268" display="fdsup://factset/Doc Viewer Single?float_window=true&amp;positioning_strategy=center_on_screen&amp;_doc_docfn=U2FsdGVkX19Qf9vzx7bBmE/eOALM7YqWi6ZzLV2t5FyFB/VthLvoX2kPIOgyxQ1ca08yRkU5/2jFLuQaDLvO0VfUrAFO2NxuosfnH6dx0AI=&amp;_app_id=central_doc_viewer&amp;center_on_screen=true&amp;width=950&amp;height=800&amp;_dd2=%26f%3Dsld%26c%3Dtrue%26os%3D193132%26oe%3D193139" xr:uid="{5E7D53A9-CB9A-49F2-8B68-CD29C553082E}"/>
    <hyperlink ref="D60" r:id="rId269" display="fdsup://factset/Doc Viewer Single?float_window=true&amp;positioning_strategy=center_on_screen&amp;_doc_docfn=U2FsdGVkX1+3lQlSHqmxxLDFLbL4i+ebpGXIesXGaJHr6nPp1lUvF9yytIe8USR4vrtbiiy/Qx+J/BZVeRfw7bo4JLMzycmXriJI3f9U6DY=&amp;_app_id=central_doc_viewer&amp;center_on_screen=true&amp;width=950&amp;height=800&amp;_dd2=%26f%3Dsld%26c%3Dtrue%26os%3D163924%26oe%3D163931" xr:uid="{34A152D4-F490-4BCB-AF17-3EFD7B9CD815}"/>
    <hyperlink ref="E60" r:id="rId270" display="fdsup://factset/Doc Viewer Single?float_window=true&amp;positioning_strategy=center_on_screen&amp;_doc_docfn=U2FsdGVkX1+AKEriJcQZIDcyC2oodnaXGZLTnJrY0xaq0LGtRoNm74Cm4EggJHF8AWFYRvDETLP72rbxanVvT0bRry8u3szuVa5fuBJBq4c=&amp;_app_id=central_doc_viewer&amp;center_on_screen=true&amp;width=950&amp;height=800&amp;_dd2=%26f%3Dsld%26c%3Dtrue%26os%3D153067%26oe%3D153074" xr:uid="{62DB71A2-C198-4094-998F-3AB63EA358B8}"/>
    <hyperlink ref="F60" r:id="rId271" display="fdsup://factset/Doc Viewer Single?float_window=true&amp;positioning_strategy=center_on_screen&amp;_doc_docfn=U2FsdGVkX183M31jMCaKe7zFFekHBTMk8J3e7F8cEyibzC5DSf/eyZnLUnoYX4UTlZdqQ0jESbwAk9SHX1VVyKAqcmKft5Z/S/3+Xa2H2QA=&amp;_app_id=central_doc_viewer&amp;center_on_screen=true&amp;width=950&amp;height=800&amp;_dd2=%26f%3Dsld%26c%3Dtrue%26os%3D256999%26oe%3D257007" xr:uid="{636C3341-A6BC-4117-A53E-7D99EED6BF61}"/>
    <hyperlink ref="G60" r:id="rId272" display="fdsup://factset/Doc Viewer Single?float_window=true&amp;positioning_strategy=center_on_screen&amp;_doc_docfn=U2FsdGVkX18Dosb+0QNRNA8ZHBouYK1/egDuhkjdv2OoOkMEXun0Qcm7sRLONOGidFjSrTSXCQmDIn0PWM5Bh/wM2xl8b/MwQGxwlUQpgjs=&amp;_app_id=central_doc_viewer&amp;center_on_screen=true&amp;width=950&amp;height=800&amp;_dd2=%26f%3Dsld%26c%3Dtrue%26os%3D383804%26oe%3D383812" xr:uid="{FBCD4030-3E31-4A3D-8DCA-F7F995B79A00}"/>
    <hyperlink ref="H60" r:id="rId273" display="fdsup://factset/Doc Viewer Single?float_window=true&amp;positioning_strategy=center_on_screen&amp;_doc_docfn=U2FsdGVkX1+Iyg9ofG4fwB5pP4bpsFP2Ij8xY0TZ1RCuGf8lb8yWzD0A+o8E8TiVhB1yGBcA+6efC0d2XAJDFN3PRZ8epKIqyLrPb62GxSA=&amp;_app_id=central_doc_viewer&amp;center_on_screen=true&amp;width=950&amp;height=800&amp;_dd2=%26f%3Dsld%26c%3Dtrue%26os%3D242936%26oe%3D242944" xr:uid="{53F245B2-92C9-459D-8AB6-A958998BDF35}"/>
    <hyperlink ref="I60" r:id="rId274" display="fdsup://factset/Doc Viewer Single?float_window=true&amp;positioning_strategy=center_on_screen&amp;_doc_docfn=U2FsdGVkX18Gc/XiwMFbciT+WED2C1aPpumct/YMxRWfU7d5bdPMicrphqxL0i24MQ0JEyT1w5yvs9lB+dFB4z39HIAFWnZ89MrQvde/Rq0=&amp;_app_id=central_doc_viewer&amp;center_on_screen=true&amp;width=950&amp;height=800&amp;_dd2=%26f%3Dsld%26c%3Dtrue%26os%3D241573%26oe%3D241581" xr:uid="{18B5481D-3B2A-4404-A2E1-92DEC4AAACDA}"/>
    <hyperlink ref="J60" r:id="rId275" display="fdsup://factset/Doc Viewer Single?float_window=true&amp;positioning_strategy=center_on_screen&amp;_doc_docfn=U2FsdGVkX1+MPvAUaaCW4A913Nz3KK0MwoLmoB6JV6TipO8HnEBeJZxQo+GJAfx7sFzXLz4bd/+qHEFE8JGDtYfmyho/XtN6QgTVv+7kcVw=&amp;_app_id=central_doc_viewer&amp;center_on_screen=true&amp;width=950&amp;height=800&amp;_dd2=%26f%3Dsld%26c%3Dtrue%26os%3D239024%26oe%3D239032" xr:uid="{909277D9-AE65-485D-8F3E-149D87417A3B}"/>
    <hyperlink ref="K60" r:id="rId276" display="fdsup://factset/Doc Viewer Single?float_window=true&amp;positioning_strategy=center_on_screen&amp;_doc_docfn=U2FsdGVkX1+T2FHZZSRcFjtlLOJNKro659cbKxGh+igQZI0ngCJXsIgaLu68jwGJfR/K2GuVyl0PjYRPL+ZQyax+6nPhBG+/zyNktSj9ZfY=&amp;_app_id=central_doc_viewer&amp;center_on_screen=true&amp;width=950&amp;height=800&amp;_dd2=%26f%3Dsld%26c%3Dtrue%26os%3D241592%26oe%3D241600" xr:uid="{0FB1DFDB-3541-4582-89A2-56BDAB200FA8}"/>
    <hyperlink ref="K61" r:id="rId277" display="fdsup://factset/Doc Viewer Single?float_window=true&amp;positioning_strategy=center_on_screen&amp;_doc_docfn=U2FsdGVkX18XSmklgovSsJRQMKuFpNWQhRvsvTBSqckqID3q2JbfwT07/sS/XN0XybgvjnFEtqvzB4rRw5sIQxb130LXbjeGR5lijNVNuKk=&amp;_app_id=central_doc_viewer&amp;center_on_screen=true&amp;width=950&amp;height=800&amp;_dd2=%26f%3Dsld%26c%3Dtrue%26os%3D242329%26oe%3D242336" xr:uid="{2AC9D050-D650-495F-AF30-1A4A82FF6823}"/>
    <hyperlink ref="B62" r:id="rId278" display="fdsup://factset/Doc Viewer Single?float_window=true&amp;positioning_strategy=center_on_screen&amp;_doc_docfn=U2FsdGVkX1+G5F13el5Z5yJcDFb+mt1PhhHsPx5OzoQlbT9c7epu3Lh7X2sCinba92g/2G2IcodnByUz4pD2wEW/nrH6Ej7n/WB8mAU7XR8=&amp;_app_id=central_doc_viewer&amp;center_on_screen=true&amp;width=950&amp;height=800&amp;_dd2=%26f%3Dsld%26c%3Dtrue%26os%3D442138%26oe%3D442144" xr:uid="{DD176E48-1954-447F-AE23-1FC2AF57FCD1}"/>
    <hyperlink ref="C62" r:id="rId279" display="fdsup://factset/Doc Viewer Single?float_window=true&amp;positioning_strategy=center_on_screen&amp;_doc_docfn=U2FsdGVkX1+0/IbHYDznVEwzy7eC9EEFrEev85QNWHIPmwTXwiub3qCFMnq6T6x8mWq25NR41lubHbw9vadogyX7g3NvzFWw4JEOcNBjaKw=&amp;_app_id=central_doc_viewer&amp;center_on_screen=true&amp;width=950&amp;height=800&amp;_dd2=%26f%3Dsld%26c%3Dtrue%26os%3D193947%26oe%3D193952" xr:uid="{95448C55-C475-4080-8D5A-4D2589047E01}"/>
    <hyperlink ref="D62" r:id="rId280" display="fdsup://factset/Doc Viewer Single?float_window=true&amp;positioning_strategy=center_on_screen&amp;_doc_docfn=U2FsdGVkX1+PzFVnF9c2potDctFxq0IfLETfYsR1hITPr0/6I8TVccJZK7O6xteGK38p7P+/aqXbtEYKbch7c/N32gtYXNC+wnrZB/ySG/A=&amp;_app_id=central_doc_viewer&amp;center_on_screen=true&amp;width=950&amp;height=800&amp;_dd2=%26f%3Dsld%26c%3Dtrue%26os%3D164754%26oe%3D164759" xr:uid="{1DD2AD3A-9973-409F-A82B-049620BB8703}"/>
    <hyperlink ref="E62" r:id="rId281" display="fdsup://factset/Doc Viewer Single?float_window=true&amp;positioning_strategy=center_on_screen&amp;_doc_docfn=U2FsdGVkX191S/4/PZM0I5YDVAvZbErxPErX0Lg0vz5Hr72uwewzKVXKmhrA8WZTI7ndXh3rCDQCLXLHBonHLn1CEFKKmUyK9ZGPg9NBQH8=&amp;_app_id=central_doc_viewer&amp;center_on_screen=true&amp;width=950&amp;height=800&amp;_dd2=%26f%3Dsld%26c%3Dtrue%26os%3D153897%26oe%3D153902" xr:uid="{4E2971D2-1784-4234-9671-3A8A818D3D3D}"/>
    <hyperlink ref="F62" r:id="rId282" display="fdsup://factset/Doc Viewer Single?float_window=true&amp;positioning_strategy=center_on_screen&amp;_doc_docfn=U2FsdGVkX1+0TlzzekZ3mta66xjkuyOO+WD19O8jzFi8T7staru8fun5j6qOj/jwEYJBiOIWsDb5RdCOEMZ+nAO5cO2Kq/f9IqZRAFlfbe4=&amp;_app_id=central_doc_viewer&amp;center_on_screen=true&amp;width=950&amp;height=800&amp;_dd2=%26f%3Dsld%26c%3Dtrue%26os%3D257773%26oe%3D257776" xr:uid="{CAC99565-485A-4AB3-890E-9EF92A33EF85}"/>
    <hyperlink ref="G62" r:id="rId283" display="fdsup://factset/Doc Viewer Single?float_window=true&amp;positioning_strategy=center_on_screen&amp;_doc_docfn=U2FsdGVkX1+iHrwMGj1qs1BxmKVamAn0afWtPq7QddxcUFM4AWP0WmMtltoQZlgh/g40rFmzu6KNU3+pQjl7nGJh2n457EsMfNW7mPQofnA=&amp;_app_id=central_doc_viewer&amp;center_on_screen=true&amp;width=950&amp;height=800&amp;_dd2=%26f%3Dsld%26c%3Dtrue%26os%3D384582%26oe%3D384588" xr:uid="{DD36B1BF-5015-4AF1-8A82-AB505F96363F}"/>
    <hyperlink ref="H62" r:id="rId284" display="fdsup://factset/Doc Viewer Single?float_window=true&amp;positioning_strategy=center_on_screen&amp;_doc_docfn=U2FsdGVkX19hHgvcS33Dce7P9ROeVuU6exjolZKQPQ8aZsHIRtUO2GOJQV5JZzFgAiAUfmPtAURgTJeMkqzK7GsR6UxS2Mo4i751jkq+Qxo=&amp;_app_id=central_doc_viewer&amp;center_on_screen=true&amp;width=950&amp;height=800&amp;_dd2=%26f%3Dsld%26c%3Dtrue%26os%3D243716%26oe%3D243722" xr:uid="{9539B895-1314-443E-8DE6-F57CA00352A5}"/>
    <hyperlink ref="I62" r:id="rId285" display="fdsup://factset/Doc Viewer Single?float_window=true&amp;positioning_strategy=center_on_screen&amp;_doc_docfn=U2FsdGVkX1+2XEulmjsuKHbgRMJAHdcAsMM+e8zCBg2vD0Wh3vN1LfJYchPnJACUqr8NykYAlFwdGyUkwUdpKpRnwRjJRCco6C9b0edbGJg=&amp;_app_id=central_doc_viewer&amp;center_on_screen=true&amp;width=950&amp;height=800&amp;_dd2=%26f%3Dsld%26c%3Dtrue%26os%3D242353%26oe%3D242359" xr:uid="{6D9F3B3A-756C-41F6-86C9-92A53C5B6C79}"/>
    <hyperlink ref="J62" r:id="rId286" display="fdsup://factset/Doc Viewer Single?float_window=true&amp;positioning_strategy=center_on_screen&amp;_doc_docfn=U2FsdGVkX18dlKnezLOBODyBFpC/Q3vKWE8wunto4IyaL+6EnofCWD6Yf3pIsQGswuHq8fe4Y+h1tENkaBNpvw9KglNFKOR/ltL8xxJs54M=&amp;_app_id=central_doc_viewer&amp;center_on_screen=true&amp;width=950&amp;height=800&amp;_dd2=%26f%3Dsld%26c%3Dtrue%26os%3D239804%26oe%3D239810" xr:uid="{6DF46CDA-9E35-42F6-8855-E9B0874CD80D}"/>
    <hyperlink ref="K62" r:id="rId287" display="fdsup://factset/Doc Viewer Single?float_window=true&amp;positioning_strategy=center_on_screen&amp;_doc_docfn=U2FsdGVkX1+b2nFwUa2kFfXazmhgf6RN/XPU2I+0BZt8ew2xvot418/moLOn1fhX4qpqEMoGEZV51cLsR9xs2MWasDJeDwlH/lwLGnKB2Dk=&amp;_app_id=central_doc_viewer&amp;center_on_screen=true&amp;width=950&amp;height=800&amp;_dd2=%26f%3Dsld%26c%3Dtrue%26os%3D243044%26oe%3D243050" xr:uid="{C737847F-BFDE-406E-880F-8EE58EBBFFED}"/>
    <hyperlink ref="B65" r:id="rId288" display="fdsup://factset/Doc Viewer Single?float_window=true&amp;positioning_strategy=center_on_screen&amp;_doc_docfn=U2FsdGVkX19H/aJ/au8MUKqW7eSZKurSlTDUv+CGWBNctK3wn0WbbpLDD2y9I+VupqNMF9hMnrGxRYjx+8+DMXdLlPvYRPamRcFiW9nVnFc=&amp;_app_id=central_doc_viewer&amp;center_on_screen=true&amp;width=950&amp;height=800&amp;_dd2=%26f%3Dsld%26c%3Dtrue%26os%3D444933%26oe%3D444941" xr:uid="{CB98773A-13D0-4CA9-A8CD-0A00F4CE5C9B}"/>
    <hyperlink ref="C65" r:id="rId289" display="fdsup://factset/Doc Viewer Single?float_window=true&amp;positioning_strategy=center_on_screen&amp;_doc_docfn=U2FsdGVkX1/+KJ4GH3a7+oZBwoUTHJuKnj3L1c3LtFk06hLBSmbgFhN8Mb2Yx/w4rIsoNYsXk4sCnaB/WDCi9+e07WV9a2MgrGVCU+Shhrg=&amp;_app_id=central_doc_viewer&amp;center_on_screen=true&amp;width=950&amp;height=800&amp;_dd2=%26f%3Dsld%26c%3Dtrue%26os%3D194732%26oe%3D194740" xr:uid="{DCF05C8B-0F9B-4C6F-B967-F62807BF5A0A}"/>
    <hyperlink ref="D65" r:id="rId290" display="fdsup://factset/Doc Viewer Single?float_window=true&amp;positioning_strategy=center_on_screen&amp;_doc_docfn=U2FsdGVkX1+aPagcBVqz1PvGDy1Ey6g6sTcIF11KENm9iQgWLQyblahqizj5GyA6XRWfp/p1n1dsQzSP7MAOn+nYh6OeFLbZeJXi+Zp+K4Y=&amp;_app_id=central_doc_viewer&amp;center_on_screen=true&amp;width=950&amp;height=800&amp;_dd2=%26f%3Dsld%26c%3Dtrue%26os%3D165562%26oe%3D165569" xr:uid="{E4DE0A1C-07A4-4624-AB8A-A900F4A52D78}"/>
    <hyperlink ref="E65" r:id="rId291" display="fdsup://factset/Doc Viewer Single?float_window=true&amp;positioning_strategy=center_on_screen&amp;_doc_docfn=U2FsdGVkX1+gNtq9DxM4ywjnjBw966M0Laj+Ds4h89LplFAvnICMfMqZx3NmMFG0/OkjjrDDJtmnnS6SgsOVJ91TdVeQP2LqmJxjklTwPzg=&amp;_app_id=central_doc_viewer&amp;center_on_screen=true&amp;width=950&amp;height=800&amp;_dd2=%26f%3Dsld%26c%3Dtrue%26os%3D154703%26oe%3D154710" xr:uid="{9F1981D7-7405-4761-8E87-A83C4BB1A7BE}"/>
    <hyperlink ref="F65" r:id="rId292" display="fdsup://factset/Doc Viewer Single?float_window=true&amp;positioning_strategy=center_on_screen&amp;_doc_docfn=U2FsdGVkX1/jD5qh9cGvfzrtQEZIC69Wex6V/+SAxaqh9m1tVZNGQDktY5fsJ6HHNMS/V5TPrGYgE/n80MOGb0AH6DXCqnDg52+RJSF7r1M=&amp;_app_id=central_doc_viewer&amp;center_on_screen=true&amp;width=950&amp;height=800&amp;_dd2=%26f%3Dsld%26c%3Dtrue%26os%3D258520%26oe%3D258525" xr:uid="{C80ACF0B-9D4A-4DB3-BD0A-18BE9143C6E5}"/>
    <hyperlink ref="G65" r:id="rId293" display="fdsup://factset/Doc Viewer Single?float_window=true&amp;positioning_strategy=center_on_screen&amp;_doc_docfn=U2FsdGVkX19ItpuqoNgEtZ4fFBChg0/QC3E/mI6JyloNrH/eohlEmUAbT+67Bb06boDhZbV+tDwb7WWMGS8ygHWwhrgzynyz+VFtNcjqLco=&amp;_app_id=central_doc_viewer&amp;center_on_screen=true&amp;width=950&amp;height=800&amp;_dd2=%26f%3Dsld%26c%3Dtrue%26os%3D385330%26oe%3D385337" xr:uid="{1F33F624-B538-4FFF-86A9-0A422FCB173F}"/>
    <hyperlink ref="H65" r:id="rId294" display="fdsup://factset/Doc Viewer Single?float_window=true&amp;positioning_strategy=center_on_screen&amp;_doc_docfn=U2FsdGVkX1+lwg191R5N4KNTKG7+Zfl0vWJdB3ebHu+wLcRGZ0sb7YPUwu32eIGi1Eq9+WhJAPG7u4BYk16LzD91a/NbzlKtB7sh9xK0wew=&amp;_app_id=central_doc_viewer&amp;center_on_screen=true&amp;width=950&amp;height=800&amp;_dd2=%26f%3Dsld%26c%3Dtrue%26os%3D244467%26oe%3D244475" xr:uid="{7A5050CD-89E9-4377-8C2F-1824F63CA6D4}"/>
    <hyperlink ref="I65" r:id="rId295" display="fdsup://factset/Doc Viewer Single?float_window=true&amp;positioning_strategy=center_on_screen&amp;_doc_docfn=U2FsdGVkX184Z/ogGfyIL72IZHhglxi8jtEiyj1rtCtyFQ+vW8zWvqshC+/7CynHGacbF0EvGuLRVlAa/9mK+u3PEYLGMiOob0AXhImsVsI=&amp;_app_id=central_doc_viewer&amp;center_on_screen=true&amp;width=950&amp;height=800&amp;_dd2=%26f%3Dsld%26c%3Dtrue%26os%3D243109%26oe%3D243117" xr:uid="{7B17A0C1-F3E5-4213-B2C3-09CFF0248F97}"/>
    <hyperlink ref="J65" r:id="rId296" display="fdsup://factset/Doc Viewer Single?float_window=true&amp;positioning_strategy=center_on_screen&amp;_doc_docfn=U2FsdGVkX19AB1T0tdOhYu2EcmYPm2CTDssobAj03mn9HMPyq5ZLfLxCpXF9TxM6DWQUFqGrju9FgNxckzS40w5OptUc1ip8kMJnURw0Lc4=&amp;_app_id=central_doc_viewer&amp;center_on_screen=true&amp;width=950&amp;height=800&amp;_dd2=%26f%3Dsld%26c%3Dtrue%26os%3D240560%26oe%3D240568" xr:uid="{A5EFC09C-EB2C-47C9-9869-80FBF8FE33D1}"/>
    <hyperlink ref="K65" r:id="rId297" display="fdsup://factset/Doc Viewer Single?float_window=true&amp;positioning_strategy=center_on_screen&amp;_doc_docfn=U2FsdGVkX188jjy4ovT6hFw5c0vuK6kB5Uj4VzgUmPCTwV9bJZ0raGlA9IG+YCp/n9sVDJXXIq9mgVqEUpJTwp7pO2QxMcUpZinQH5N3owY=&amp;_app_id=central_doc_viewer&amp;center_on_screen=true&amp;width=950&amp;height=800&amp;_dd2=%26f%3Dsld%26c%3Dtrue%26os%3D243800%26oe%3D243808" xr:uid="{CF3F1101-4EAB-4FF8-BFE0-E3F0653A6E33}"/>
    <hyperlink ref="D66" r:id="rId298" display="fdsup://factset/Doc Viewer Single?float_window=true&amp;positioning_strategy=center_on_screen&amp;_doc_docfn=U2FsdGVkX18tLqkoNXlniD6CT+Ylv0QskbaUxdTMNamN5Vn8omzTuNNTGkcOTol3f8yGYU6Y3IWE6+SdfXUeBlQWlJ1LxJKuFBjLjE2X87s=&amp;_app_id=central_doc_viewer&amp;center_on_screen=true&amp;width=950&amp;height=800&amp;_dd2=%26f%3Dsld%26c%3Dtrue%26os%3D166404%26oe%3D166407" xr:uid="{D1A1878E-E722-4C57-854A-80731F4D5D63}"/>
    <hyperlink ref="E66" r:id="rId299" display="fdsup://factset/Doc Viewer Single?float_window=true&amp;positioning_strategy=center_on_screen&amp;_doc_docfn=U2FsdGVkX1/6I9aeDwXyCcLEavuXb9Wlvd72lVNocxUSL4FYUEN71fgzfGFZca+yd7bjLnpC9uf7foKfqTX2/hTiLfTFfZGkEVMkbw4Qzxc=&amp;_app_id=central_doc_viewer&amp;center_on_screen=true&amp;width=950&amp;height=800&amp;_dd2=%26f%3Dsld%26c%3Dtrue%26os%3D155543%26oe%3D155546" xr:uid="{021C6D1B-D87A-4A05-874C-B4B536E02C8E}"/>
    <hyperlink ref="F66" r:id="rId300" display="fdsup://factset/Doc Viewer Single?float_window=true&amp;positioning_strategy=center_on_screen&amp;_doc_docfn=U2FsdGVkX1988sH/3V/+jmySgo/bBlecJ+PSbbghV/REcihTK7WultSCZS/YJI4cUynik/JOjjeZ8jgqx2LNlwKq2gJtaix735n8D0kL1Rc=&amp;_app_id=central_doc_viewer&amp;center_on_screen=true&amp;width=950&amp;height=800&amp;_dd2=%26f%3Dsld%26c%3Dtrue%26os%3D259316%26oe%3D259319" xr:uid="{F9AE4BFF-9124-456E-9970-D49F21FDFD84}"/>
    <hyperlink ref="G66" r:id="rId301" display="fdsup://factset/Doc Viewer Single?float_window=true&amp;positioning_strategy=center_on_screen&amp;_doc_docfn=U2FsdGVkX1/rbpbdLkpukHbZs/jraNxrbgZnINf6DjLPp3EAQr3fZUZuuQBkog+4FXRoozIdMuswRFhrAWDIrXBcRFIuQwSR+Sawth/cQzk=&amp;_app_id=central_doc_viewer&amp;center_on_screen=true&amp;width=950&amp;height=800&amp;_dd2=%26f%3Dsld%26c%3Dtrue%26os%3D386131%26oe%3D386136" xr:uid="{DB06B4DB-2AF4-4EFE-A077-524C6E84A32F}"/>
    <hyperlink ref="H66" r:id="rId302" display="fdsup://factset/Doc Viewer Single?float_window=true&amp;positioning_strategy=center_on_screen&amp;_doc_docfn=U2FsdGVkX1+HFO0ITVWRrkVnFtAy0GD/dZ877xR0bosjliNE+0pSA92dxDhWa8LHoGyVx4OgjvSpZ9SagpCJ2MfOOcWTFysxZByLcFxYOb8=&amp;_app_id=central_doc_viewer&amp;center_on_screen=true&amp;width=950&amp;height=800&amp;_dd2=%26f%3Dsld%26c%3Dtrue%26os%3D245268%26oe%3D245271" xr:uid="{242D41B8-933B-4FF3-B4DA-3083CD3A8014}"/>
    <hyperlink ref="I66" r:id="rId303" display="fdsup://factset/Doc Viewer Single?float_window=true&amp;positioning_strategy=center_on_screen&amp;_doc_docfn=U2FsdGVkX18toEfCsurxa9loT22jyPiKfN7yWRLq0BypRQpaZDSAGvHAeKT9oflphA02Ggsrih8HvuD7mCW6pSFmt9EjjqAhLPnQrHBRjyE=&amp;_app_id=central_doc_viewer&amp;center_on_screen=true&amp;width=950&amp;height=800&amp;_dd2=%26f%3Dsld%26c%3Dtrue%26os%3D243914%26oe%3D243916" xr:uid="{CFC6734B-2263-44F9-BCBF-E67EA6DA9AAA}"/>
    <hyperlink ref="J66" r:id="rId304" display="fdsup://factset/Doc Viewer Single?float_window=true&amp;positioning_strategy=center_on_screen&amp;_doc_docfn=U2FsdGVkX1+ASNotK6msd5ynw4E91oUHMYCrjBH49QOovD5NNvb5Zs6TrHBAJckSyz14UYrUeCf6QDUhVVDOnzv3Ew2zzIznO34L6g+B9Gw=&amp;_app_id=central_doc_viewer&amp;center_on_screen=true&amp;width=950&amp;height=800&amp;_dd2=%26f%3Dsld%26c%3Dtrue%26os%3D241366%26oe%3D241367" xr:uid="{CF3E90CC-8A79-470E-A914-FD84B2967EA3}"/>
    <hyperlink ref="K66" r:id="rId305" display="fdsup://factset/Doc Viewer Single?float_window=true&amp;positioning_strategy=center_on_screen&amp;_doc_docfn=U2FsdGVkX1+TmouS0ZgCRaEYacdGE2WWqqgcGTbrPxNkLTSblpAaRYoCTvkqX6/2uGOuJWT6mA1WECbHBvButGIT+LLTSUBjvltLs64N2Cs=&amp;_app_id=central_doc_viewer&amp;center_on_screen=true&amp;width=950&amp;height=800&amp;_dd2=%26f%3Dsld%26c%3Dtrue%26os%3D244609%26oe%3D244614" xr:uid="{63599249-1B27-47FD-A63D-D93438D0BF69}"/>
    <hyperlink ref="B67" r:id="rId306" display="fdsup://factset/Doc Viewer Single?float_window=true&amp;positioning_strategy=center_on_screen&amp;_doc_docfn=U2FsdGVkX18XORWr46GuNn3rYB3421h/TRR6Mz3zyeIFzQS3ToCue//uqFc9cEd2qm7I6J5+YHS6RVuuEixvTsp0HhE+ZgsQRVZgSwERdmA=&amp;_app_id=central_doc_viewer&amp;center_on_screen=true&amp;width=950&amp;height=800&amp;_dd2=%26f%3Dsld%26c%3Dtrue%26os%3D451145%26oe%3D451150" xr:uid="{B2C5BEA6-67BD-41DD-A719-BDAC923B9310}"/>
    <hyperlink ref="C67" r:id="rId307" display="fdsup://factset/Doc Viewer Single?float_window=true&amp;positioning_strategy=center_on_screen&amp;_doc_docfn=U2FsdGVkX18RoynFiCMX2h3wWvBs9LIsgEDcjQhnfmmNYaGy9sEcIw0rGlxcdtRvZbnUnFnitoHp2URW0Q8gOaImCiXZi2mOwoUDTqncz3w=&amp;_app_id=central_doc_viewer&amp;center_on_screen=true&amp;width=950&amp;height=800&amp;_dd2=%26f%3Dsld%26c%3Dtrue%26os%3D196404%26oe%3D196409" xr:uid="{C64EA5E0-8028-483A-BBB8-DE9E97803E03}"/>
    <hyperlink ref="D67" r:id="rId308" display="fdsup://factset/Doc Viewer Single?float_window=true&amp;positioning_strategy=center_on_screen&amp;_doc_docfn=U2FsdGVkX1/Di79JMZy78mJWIKWE6f+U9/Cihgq8X2fIq3WduRt2TE40Kdjo2UxYaaAI04uHXUfd6GvT/KcO5sLvIjGprtm04+Fsnize/ns=&amp;_app_id=central_doc_viewer&amp;center_on_screen=true&amp;width=950&amp;height=800&amp;_dd2=%26f%3Dsld%26c%3Dtrue%26os%3D168069%26oe%3D168072" xr:uid="{B863B9ED-37C4-4333-824F-6C57F27E6142}"/>
    <hyperlink ref="E67" r:id="rId309" display="fdsup://factset/Doc Viewer Single?float_window=true&amp;positioning_strategy=center_on_screen&amp;_doc_docfn=U2FsdGVkX1/uGHCmpmKvOQhgui0hRjxVlG13w4X9DnXXDu32fE1b2VY1VZ4TxS707KGB1GBW3dQZ1TL1MdOp7mtz/CqzI5F4AILc4pG+uzk=&amp;_app_id=central_doc_viewer&amp;center_on_screen=true&amp;width=950&amp;height=800&amp;_dd2=%26f%3Dsld%26c%3Dtrue%26os%3D157220%26oe%3D157225" xr:uid="{69BBCBA3-D486-47B4-979F-C61CD13FE97B}"/>
    <hyperlink ref="F67" r:id="rId310" display="fdsup://factset/Doc Viewer Single?float_window=true&amp;positioning_strategy=center_on_screen&amp;_doc_docfn=U2FsdGVkX1+QJlhvRKn0rcTDIxGj5gLgkN4dLhUaTGUdyHo5FQpoUyMZT3r5Dvlu034C5pZBuv/mZYczYa3Yt9xk8Kk5z/VbQllMS7lL1LI=&amp;_app_id=central_doc_viewer&amp;center_on_screen=true&amp;width=950&amp;height=800&amp;_dd2=%26f%3Dsld%26c%3Dtrue%26os%3D260931%26oe%3D260935" xr:uid="{885F8E6D-BB40-4841-A5DA-A2BCE8EF2611}"/>
    <hyperlink ref="G67" r:id="rId311" display="fdsup://factset/Doc Viewer Single?float_window=true&amp;positioning_strategy=center_on_screen&amp;_doc_docfn=U2FsdGVkX1+Tn8nEqKaQnHH8UL4cVZgZeixFX42zziCwtv4pdxN7HcdKiggkaK33M25RBIh2yxSrY15B3PHFtNdNfELImsZrWv4SkGeOq2A=&amp;_app_id=central_doc_viewer&amp;center_on_screen=true&amp;width=950&amp;height=800&amp;_dd2=%26f%3Dsld%26c%3Dtrue%26os%3D387750%26oe%3D387752" xr:uid="{2FE5CAB6-1909-49DB-8890-433202C14D44}"/>
    <hyperlink ref="H67" r:id="rId312" display="fdsup://factset/Doc Viewer Single?float_window=true&amp;positioning_strategy=center_on_screen&amp;_doc_docfn=U2FsdGVkX18WSBWGUtGCOmttHBPMArGgwvqXdc4FVEGZMqrIzVw8P4xGegeji5gKeHXv6RbKjKxIgTpCKRCNQ7Iekis4CTOaFM6D621b2c0=&amp;_app_id=central_doc_viewer&amp;center_on_screen=true&amp;width=950&amp;height=800&amp;_dd2=%26f%3Dsld%26c%3Dtrue%26os%3D246889%26oe%3D246894" xr:uid="{A01EC856-9213-42F5-A46A-3585CEC92755}"/>
    <hyperlink ref="I67" r:id="rId313" display="fdsup://factset/Doc Viewer Single?float_window=true&amp;positioning_strategy=center_on_screen&amp;_doc_docfn=U2FsdGVkX1+neySAvkNRQ4hcusYHMmjQX772hLFlpbG5OhjGnQrcNn6YFBhlumzW87wLPc9LHIUMNwclDKtGsjlrGcjFRfZb/k/qzbnq1RI=&amp;_app_id=central_doc_viewer&amp;center_on_screen=true&amp;width=950&amp;height=800&amp;_dd2=%26f%3Dsld%26c%3Dtrue%26os%3D245534%26oe%3D245539" xr:uid="{A15E64E2-595D-4427-A31B-86FCCCAA083B}"/>
    <hyperlink ref="J67" r:id="rId314" display="fdsup://factset/Doc Viewer Single?float_window=true&amp;positioning_strategy=center_on_screen&amp;_doc_docfn=U2FsdGVkX19lP0SuZYw3H97O1oyts5yTiaRwoVjgW928WkhSrJ0PkrkXec4hRLu/xZeyH0MQ4Ptwv/SeFM6xUeNKaaR3YcQ4FJwtZJcXWpI=&amp;_app_id=central_doc_viewer&amp;center_on_screen=true&amp;width=950&amp;height=800&amp;_dd2=%26f%3Dsld%26c%3Dtrue%26os%3D242980%26oe%3D242985" xr:uid="{3FE4F642-500E-4E22-9A2F-70D1E7792334}"/>
    <hyperlink ref="K67" r:id="rId315" display="fdsup://factset/Doc Viewer Single?float_window=true&amp;positioning_strategy=center_on_screen&amp;_doc_docfn=U2FsdGVkX19cRNkpZuCAsybuMH3G4BEnPhXF5YBjIMWOHlO1FKkpFnPe3lGEPb6qsfNkUvciLlub279SeufmlGjKTUBsRPXGs1v4S+skO5I=&amp;_app_id=central_doc_viewer&amp;center_on_screen=true&amp;width=950&amp;height=800&amp;_dd2=%26f%3Dsld%26c%3Dtrue%26os%3D246223%26oe%3D246228" xr:uid="{6DC9332A-8694-4D00-9E08-7BEF36DF2EBA}"/>
    <hyperlink ref="B68" r:id="rId316" display="fdsup://factset/Doc Viewer Single?float_window=true&amp;positioning_strategy=center_on_screen&amp;_doc_docfn=U2FsdGVkX19A4XFjsxUCEqOe3QPWWoEYVWvPrX2L6YpLCELH4DYj6v+UNqZYWiByT4CkubUHRlIY8NuAXF0MVgLLj2OLgy6/ur061g2LLL4=&amp;_app_id=central_doc_viewer&amp;center_on_screen=true&amp;width=950&amp;height=800&amp;_dd2=%26f%3Dsld%26c%3Dtrue%26os%3D455027%26oe%3D455033" xr:uid="{58559A1F-B486-4B31-9737-64175A0411E0}"/>
    <hyperlink ref="C68" r:id="rId317" display="fdsup://factset/Doc Viewer Single?float_window=true&amp;positioning_strategy=center_on_screen&amp;_doc_docfn=U2FsdGVkX1+e9+Cij0zPyoBvNfGoe+l5SOUbl9SLHV/d4m2Eg8oq/ncMbFMtRnewGvU1YEJyoClb/ldRWmNnxyqkobZrC6MFzjrbNfs4Nvs=&amp;_app_id=central_doc_viewer&amp;center_on_screen=true&amp;width=950&amp;height=800&amp;_dd2=%26f%3Dsld%26c%3Dtrue%26os%3D197254%26oe%3D197261" xr:uid="{593D6A7E-813F-4786-B89F-A2FC10AF953B}"/>
    <hyperlink ref="D68" r:id="rId318" display="fdsup://factset/Doc Viewer Single?float_window=true&amp;positioning_strategy=center_on_screen&amp;_doc_docfn=U2FsdGVkX1/4KLxljPZorZYe2wNKfs01/VjYUstv7I+en9CdaBip8k5XvWDsZge4OS6E7BlI4Sv/5MV1DRdpjZ1tlQkTxwweBKg/jp1qB2g=&amp;_app_id=central_doc_viewer&amp;center_on_screen=true&amp;width=950&amp;height=800&amp;_dd2=%26f%3Dsld%26c%3Dtrue%26os%3D168917%26oe%3D168924" xr:uid="{6E3B607F-784A-4E21-AE50-077103E26E5D}"/>
    <hyperlink ref="B69" r:id="rId319" display="fdsup://factset/Doc Viewer Single?float_window=true&amp;positioning_strategy=center_on_screen&amp;_doc_docfn=U2FsdGVkX1/v31QO4h5aP/Sclkbwm6ta6VcaxYM6dY7cDmxWzZNppgcEhfTqgx31Hv09r8AW4vI9hCKCOcVcwM2RDyJR22Jm9n2WAcEabmM=&amp;_app_id=central_doc_viewer&amp;center_on_screen=true&amp;width=950&amp;height=800&amp;_dd2=%26f%3Dsld%26c%3Dtrue%26os%3D460455%26oe%3D460456" xr:uid="{0D18B5BC-C767-4907-A629-D0DBBAEB3F55}"/>
    <hyperlink ref="C70" r:id="rId320" display="fdsup://factset/Doc Viewer Single?float_window=true&amp;positioning_strategy=center_on_screen&amp;_doc_docfn=U2FsdGVkX19sFhbhHctL1+LdGtAb6P030ghD23MwiBkCS8UsTPhfO64NxUaSzpyDm2IEEfa/ZYZpqpwriMECxw+oiyjtI6kuYpqOW2/26ig=&amp;_app_id=central_doc_viewer&amp;center_on_screen=true&amp;width=950&amp;height=800&amp;_dd2=%26f%3Dsld%26c%3Dtrue%26os%3D197254%26oe%3D197261" xr:uid="{9A8A6410-6E41-4AE1-A8E1-9B467E9249E9}"/>
    <hyperlink ref="D70" r:id="rId321" display="fdsup://factset/Doc Viewer Single?float_window=true&amp;positioning_strategy=center_on_screen&amp;_doc_docfn=U2FsdGVkX18j+OOKBDFJROaxNmELYFZpDzyvMUeg8dfmTDDeR7Y7FmlNWOTyxLbx2XoByCgaOd+wVQxaFlQFMFgUUxeMt+Z3/gHs69D36Q8=&amp;_app_id=central_doc_viewer&amp;center_on_screen=true&amp;width=950&amp;height=800&amp;_dd2=%26f%3Dsld%26c%3Dtrue%26os%3D168917%26oe%3D168924" xr:uid="{FFB3B6ED-B250-485F-889F-5CDBF6425651}"/>
    <hyperlink ref="E70" r:id="rId322" display="fdsup://factset/Doc Viewer Single?float_window=true&amp;positioning_strategy=center_on_screen&amp;_doc_docfn=U2FsdGVkX18ZJ6KhRJuwzKTCWZBhjh/xZJRBEhG7H19z22p/ZSCEdthxn3YMjOD6UA3roq8HcKk1z0ntDaelvHSt04+R1FLk2oJmuoPqpJ4=&amp;_app_id=central_doc_viewer&amp;center_on_screen=true&amp;width=950&amp;height=800&amp;_dd2=%26f%3Dsld%26c%3Dtrue%26os%3D158079%26oe%3D158084" xr:uid="{3B610123-80D8-48C1-A7CE-D849E6A363B0}"/>
    <hyperlink ref="F70" r:id="rId323" display="fdsup://factset/Doc Viewer Single?float_window=true&amp;positioning_strategy=center_on_screen&amp;_doc_docfn=U2FsdGVkX1/W+pNmXuLgHc36Im6ZI/U4B7+tbMe/8jUBxVl09RK27tV9AGuOkZ2tu/cOJ/eIa7MxlPG1y+WM5SB8TatMMaRPeVl3HrjIB/U=&amp;_app_id=central_doc_viewer&amp;center_on_screen=true&amp;width=950&amp;height=800&amp;_dd2=%26f%3Dsld%26c%3Dtrue%26os%3D261877%26oe%3D261882" xr:uid="{55FD29A6-2AAA-4D7E-844F-8A7CCFCD1D38}"/>
    <hyperlink ref="G70" r:id="rId324" display="fdsup://factset/Doc Viewer Single?float_window=true&amp;positioning_strategy=center_on_screen&amp;_doc_docfn=U2FsdGVkX18DTz4jX1MD34px6BPPftKCmZc6ZHDvBRyq7N7KS3G7PLQuq02psmo/VLvsIkMXemP5HChnUcSO9yDRTBP3+zdS2D07KISVurE=&amp;_app_id=central_doc_viewer&amp;center_on_screen=true&amp;width=950&amp;height=800&amp;_dd2=%26f%3Dsld%26c%3Dtrue%26os%3D388683%26oe%3D388688" xr:uid="{8CDF79EB-FD3B-464D-B52B-0932A6BCCDE8}"/>
    <hyperlink ref="H70" r:id="rId325" display="fdsup://factset/Doc Viewer Single?float_window=true&amp;positioning_strategy=center_on_screen&amp;_doc_docfn=U2FsdGVkX1+pXdNLgPXyzhCIcFj6nZvIHCJgDyIYHa8PT7YQ7f/ZtqFmfcmnfuefBmGM5rnvykEBViemhjAu4HkfeRmitXECpeM0HeA8SZI=&amp;_app_id=central_doc_viewer&amp;center_on_screen=true&amp;width=950&amp;height=800&amp;_dd2=%26f%3Dsld%26c%3Dtrue%26os%3D247832%26oe%3D247839" xr:uid="{6CB06A3D-97AF-4DF3-8E8C-BED1A5BB8BD9}"/>
    <hyperlink ref="I70" r:id="rId326" display="fdsup://factset/Doc Viewer Single?float_window=true&amp;positioning_strategy=center_on_screen&amp;_doc_docfn=U2FsdGVkX18MSYOh0ftpZQruqght3HQhFPje9OKL6GSbs8SYn2429D2885ygEhBUtQ8oh2LvON9CrWP/JwjmVhI2glTcas6I5D9jQF3QRuI=&amp;_app_id=central_doc_viewer&amp;center_on_screen=true&amp;width=950&amp;height=800&amp;_dd2=%26f%3Dsld%26c%3Dtrue%26os%3D246478%26oe%3D246481" xr:uid="{CB31B44D-F4E4-4F57-9A28-693E5CCDFCFD}"/>
    <hyperlink ref="J70" r:id="rId327" display="fdsup://factset/Doc Viewer Single?float_window=true&amp;positioning_strategy=center_on_screen&amp;_doc_docfn=U2FsdGVkX18YApsPWOqJS14v1CIC9jJByZtHymuBpvQOz/XJA9m+WUjb2JSaOz0VnVaIJPUvd/u64/ihHLcX/KkO/AdtYKLo3j4j0FL4UV8=&amp;_app_id=central_doc_viewer&amp;center_on_screen=true&amp;width=950&amp;height=800&amp;_dd2=%26f%3Dsld%26c%3Dtrue%26os%3D243929%26oe%3D243934" xr:uid="{8C9ECE9F-DE8A-4676-9B98-D9D8FBB3CD72}"/>
    <hyperlink ref="K70" r:id="rId328" display="fdsup://factset/Doc Viewer Single?float_window=true&amp;positioning_strategy=center_on_screen&amp;_doc_docfn=U2FsdGVkX18zFUhX2x/Lvaj8gD4G4jBpxOdTVDqhKN4fFsh4ULWmxQcAKZjv2swklYq1PTDIPBkXVq40N7len2LubEwlsjMo1zJ0beFtMH4=&amp;_app_id=central_doc_viewer&amp;center_on_screen=true&amp;width=950&amp;height=800&amp;_dd2=%26f%3Dsld%26c%3Dtrue%26os%3D247171%26oe%3D247176" xr:uid="{BF7CCAB6-F548-44E9-ADF5-4D351B25AC13}"/>
    <hyperlink ref="B71" r:id="rId329" display="fdsup://factset/Doc Viewer Single?float_window=true&amp;positioning_strategy=center_on_screen&amp;_doc_docfn=U2FsdGVkX1/1OXIuA5Hf+1rsnqN87MV1iXwpQnXx4cmQaW90+G0DM9Mtl9NRyE2BG3RsQoBOryVmt0OzSoX7jBK3iWc5+Jke0EXWHp/fIXM=&amp;_app_id=central_doc_viewer&amp;center_on_screen=true&amp;width=950&amp;height=800&amp;_dd2=%26f%3Dsld%26c%3Dtrue%26os%3D457805%26oe%3D457811" xr:uid="{9DC266D5-75CD-44AA-A3AF-B14A7AAA2C10}"/>
    <hyperlink ref="C71" r:id="rId330" display="fdsup://factset/Doc Viewer Single?float_window=true&amp;positioning_strategy=center_on_screen&amp;_doc_docfn=U2FsdGVkX1+z1ikH9gy1wdc59sz+QI84OLWEaT5oFjQOaPynMdZCBT6vpaXd7SSdkLX00tNL33BTV4kbipK6kHKw6Wt6Rq8NtYH0kUpdpLk=&amp;_app_id=central_doc_viewer&amp;center_on_screen=true&amp;width=950&amp;height=800&amp;_dd2=%26f%3Dsld%26c%3Dtrue%26os%3D198078%26oe%3D198084" xr:uid="{B2D11EC6-0A0D-4156-8ACE-143411693960}"/>
    <hyperlink ref="D71" r:id="rId331" display="fdsup://factset/Doc Viewer Single?float_window=true&amp;positioning_strategy=center_on_screen&amp;_doc_docfn=U2FsdGVkX189HLXmbe7ERNVE10s5NlsvSBp2Q8l0KQXhvpXzp9JYVGe6vVJ9m9w9E58zx3EOlsWzipxi0iikh3pD6neQ8AP7bodCiDeliDY=&amp;_app_id=central_doc_viewer&amp;center_on_screen=true&amp;width=950&amp;height=800&amp;_dd2=%26f%3Dsld%26c%3Dtrue%26os%3D169744%26oe%3D169750" xr:uid="{A3D2DC09-22D7-43B3-8C9C-D7F5F1D8B05C}"/>
    <hyperlink ref="E71" r:id="rId332" display="fdsup://factset/Doc Viewer Single?float_window=true&amp;positioning_strategy=center_on_screen&amp;_doc_docfn=U2FsdGVkX1+G3WGEhFLEBMO20UpEqvydKKKigVG99cyw0/uJLSjWllmdEB7Wke5GBwELZT/7b/rNXkEQwBHE5NEio67QlIX0uTPzVm3U/bU=&amp;_app_id=central_doc_viewer&amp;center_on_screen=true&amp;width=950&amp;height=800&amp;_dd2=%26f%3Dsld%26c%3Dtrue%26os%3D158904%26oe%3D158910" xr:uid="{9C01B2E5-4742-4BC6-A95F-E04E530AAFCA}"/>
    <hyperlink ref="F71" r:id="rId333" display="fdsup://factset/Doc Viewer Single?float_window=true&amp;positioning_strategy=center_on_screen&amp;_doc_docfn=U2FsdGVkX19CvDLxec2PjajWILeBmtGUFU7+X36cRroX7YM76XGYsZmiZvRD4aDCwSQs66BvAGlSGBgIcdj2tlzCDiQiRwRgJIei4thoWMY=&amp;_app_id=central_doc_viewer&amp;center_on_screen=true&amp;width=950&amp;height=800&amp;_dd2=%26f%3Dsld%26c%3Dtrue%26os%3D1549711%26oe%3D1549717" xr:uid="{1E23A33D-47DA-45AA-9F01-ED63E76E5CAC}"/>
    <hyperlink ref="G71" r:id="rId334" display="fdsup://factset/Doc Viewer Single?float_window=true&amp;positioning_strategy=center_on_screen&amp;_doc_docfn=U2FsdGVkX1/s0VDWKWfc7wPvPgBbtxvsrKzwBSVjg4D4FVIFi15cFayO+JGpKQws5EaW8hNjlrHKzR/xmy6jGb+cnejtk6Kv3DsX6k4+gGw=&amp;_app_id=central_doc_viewer&amp;center_on_screen=true&amp;width=950&amp;height=800&amp;_dd2=%26f%3Dsld%26c%3Dtrue%26os%3D1445905%26oe%3D1445911" xr:uid="{BB83A3A2-6F12-4402-9BE5-741D52912817}"/>
    <hyperlink ref="H71" r:id="rId335" display="fdsup://factset/Doc Viewer Single?float_window=true&amp;positioning_strategy=center_on_screen&amp;_doc_docfn=U2FsdGVkX18mD+WYyQilifgzFBvU+BcakH0ZzHoxc6mIJXk9iwsZ3Nyt6i+RcrF5jlOF3/MGSX3jPl5lJ7cl3ZwE5JPBYLMXlQkWYkBcGKY=&amp;_app_id=central_doc_viewer&amp;center_on_screen=true&amp;width=950&amp;height=800&amp;_dd2=%26f%3Dsld%26c%3Dtrue%26os%3D1279994%26oe%3D1280000" xr:uid="{B24CB639-3ED7-4732-8B37-080CBB6C64D0}"/>
    <hyperlink ref="I71" r:id="rId336" display="fdsup://factset/Doc Viewer Single?float_window=true&amp;positioning_strategy=center_on_screen&amp;_doc_docfn=U2FsdGVkX18D6fGdD+zzQjv30SOgeVCga9WV1aGNvEPN5c/phqRLOK+kZdnPfcorRKBiByGB512uIWtgquNHKegkxfHOPft3MyF2Tg6FTeg=&amp;_app_id=central_doc_viewer&amp;center_on_screen=true&amp;width=950&amp;height=800&amp;_dd2=%26f%3Dsld%26c%3Dtrue%26os%3D1263167%26oe%3D1263173" xr:uid="{818C5245-79AB-4CB7-8B38-7C105C2E7582}"/>
    <hyperlink ref="J71" r:id="rId337" display="fdsup://factset/Doc Viewer Single?float_window=true&amp;positioning_strategy=center_on_screen&amp;_doc_docfn=U2FsdGVkX1+e/gpEaJNYZ3wbH8dtSB6XbHPi8u4GmBCDW+nmrxMFQNpObwB7HQeUp/I9yX41LSx1WfWeVNqW/ASgcN5aAY4gMRxbq3jnV3g=&amp;_app_id=central_doc_viewer&amp;center_on_screen=true&amp;width=950&amp;height=800&amp;_dd2=%26f%3Dsld%26c%3Dtrue%26os%3D1120082%26oe%3D1120088" xr:uid="{2CB1ABD2-5FFD-4F3F-9583-F817FF94B618}"/>
    <hyperlink ref="K71" r:id="rId338" display="fdsup://factset/Doc Viewer Single?float_window=true&amp;positioning_strategy=center_on_screen&amp;_doc_docfn=U2FsdGVkX1+MLYnY2WLQrPDdEoGsF4kUrorjgtEZODj5kL/RRQkLOLqdJjZNpEBZuEo0Tydp+wAH4s9t2AuAMwFnvpdlZmvfI5xMoHmvZ+A=&amp;_app_id=central_doc_viewer&amp;center_on_screen=true&amp;width=950&amp;height=800&amp;_dd2=%26f%3Dsld%26c%3Dtrue%26os%3D1138606%26oe%3D1138612" xr:uid="{8FFAF87D-6FF4-48AD-990C-FB499AE8D355}"/>
    <hyperlink ref="B72" r:id="rId339" display="fdsup://factset/Doc Viewer Single?float_window=true&amp;positioning_strategy=center_on_screen&amp;_doc_docfn=U2FsdGVkX19liVxtXpbDuONwcpmhCdhyWW620BIsyZbsmAulAeMPOWvT8OAYs155O1QcIXWmNOnN7j4NKO0SGOMVwH99tlf6mB6iZCN+G24=&amp;_app_id=central_doc_viewer&amp;center_on_screen=true&amp;width=950&amp;height=800&amp;_dd2=%26f%3Dsld%26c%3Dtrue%26os%3D464633%26oe%3D464639" xr:uid="{5B5F675D-AD8D-4A34-8CE7-61B696C903B8}"/>
    <hyperlink ref="C72" r:id="rId340" display="fdsup://factset/Doc Viewer Single?float_window=true&amp;positioning_strategy=center_on_screen&amp;_doc_docfn=U2FsdGVkX19lxJDmaK6xuYL0DnwwYh6StbTjSJlU/iKeZPZ7c4Yhs1xe78WQI4qUPZPfbSdhcKolpryVQjDUJg9L7HGXsQk756SdYIL4drA=&amp;_app_id=central_doc_viewer&amp;center_on_screen=true&amp;width=950&amp;height=800&amp;_dd2=%26f%3Dsld%26c%3Dtrue%26os%3D198822%26oe%3D198828" xr:uid="{39D0D970-32FA-4FF7-9766-CE5503A7E026}"/>
    <hyperlink ref="D72" r:id="rId341" display="fdsup://factset/Doc Viewer Single?float_window=true&amp;positioning_strategy=center_on_screen&amp;_doc_docfn=U2FsdGVkX1/oceCheyhuUE5BPGySijS4O/SUMFyMZMkNPVklzRcQhdpWRot7vE1OW8e+7WAbxMpazNipu3a4y5j3P4jEiqYyVi61gko3T4U=&amp;_app_id=central_doc_viewer&amp;center_on_screen=true&amp;width=950&amp;height=800&amp;_dd2=%26f%3Dsld%26c%3Dtrue%26os%3D170488%26oe%3D170494" xr:uid="{90EE5F9C-FAA7-4E0C-B71F-255F72A13523}"/>
    <hyperlink ref="E72" r:id="rId342" display="fdsup://factset/Doc Viewer Single?float_window=true&amp;positioning_strategy=center_on_screen&amp;_doc_docfn=U2FsdGVkX189oeN1RS6Hb6NO2Tx8DxA+Q7ISM6+h0NZ/P+kqw+901EZ2czvj6Dvzhb54m0APqCgYKco06XHZLcDiN/oqzEpynjTPAUDeuwQ=&amp;_app_id=central_doc_viewer&amp;center_on_screen=true&amp;width=950&amp;height=800&amp;_dd2=%26f%3Dsld%26c%3Dtrue%26os%3D159648%26oe%3D159654" xr:uid="{B5936948-C781-4CA3-8C03-2238F87CDE4A}"/>
    <hyperlink ref="F72" r:id="rId343" display="fdsup://factset/Doc Viewer Single?float_window=true&amp;positioning_strategy=center_on_screen&amp;_doc_docfn=U2FsdGVkX1/iDTVkmgU54beuCMaJYxbw3SBybvt8riPYnqYIrxI5zqEpOKKz73Krr6gcxDn6No4Dx5NiVQjBLffTRmRg2gH+qwIoc0DAP5E=&amp;_app_id=central_doc_viewer&amp;center_on_screen=true&amp;width=950&amp;height=800&amp;_dd2=%26f%3Dsld%26c%3Dtrue%26os%3D262810%26oe%3D262816" xr:uid="{BC6B3594-95DF-438F-A313-78C5F871B4DB}"/>
    <hyperlink ref="G72" r:id="rId344" display="fdsup://factset/Doc Viewer Single?float_window=true&amp;positioning_strategy=center_on_screen&amp;_doc_docfn=U2FsdGVkX1/vuG9WqDslWlihpxHQ3pQ0iHMDulrYLJh7bOAjdvsCF2+B2spDpFqqTu6bXqTUXtN+HBgsIK3kCmzDMQ/Mx4nuYhgAutUto+Y=&amp;_app_id=central_doc_viewer&amp;center_on_screen=true&amp;width=950&amp;height=800&amp;_dd2=%26f%3Dsld%26c%3Dtrue%26os%3D389614%26oe%3D389620" xr:uid="{46E1AD17-4FAF-4B56-A5F7-EC4AE163B0A4}"/>
    <hyperlink ref="H72" r:id="rId345" display="fdsup://factset/Doc Viewer Single?float_window=true&amp;positioning_strategy=center_on_screen&amp;_doc_docfn=U2FsdGVkX193M1tFgPuMPcYXTrOlIZjSe8+zq1eEkmq65whwXkd2OdjBPFE/3PsBexsRnlyI7rveB1NVBmgdJ7apEi5XCi5Fw97qccHDo6I=&amp;_app_id=central_doc_viewer&amp;center_on_screen=true&amp;width=950&amp;height=800&amp;_dd2=%26f%3Dsld%26c%3Dtrue%26os%3D248765%26oe%3D248771" xr:uid="{251E08DD-01E8-45D8-97D9-08660D18C757}"/>
    <hyperlink ref="I72" r:id="rId346" display="fdsup://factset/Doc Viewer Single?float_window=true&amp;positioning_strategy=center_on_screen&amp;_doc_docfn=U2FsdGVkX19d31S6a1Q234S6A3J/c0T11U+yBNFjHO3QiOi9mRXV8lCdeW+VCKi6Ry1iUvMlYEyKess0bOexhw1GjGvQ3PsCyi3VPjpkWVY=&amp;_app_id=central_doc_viewer&amp;center_on_screen=true&amp;width=950&amp;height=800&amp;_dd2=%26f%3Dsld%26c%3Dtrue%26os%3D247409%26oe%3D247415" xr:uid="{B7B20BDB-8A2A-47EC-943C-46D66EE29B5C}"/>
    <hyperlink ref="J72" r:id="rId347" display="fdsup://factset/Doc Viewer Single?float_window=true&amp;positioning_strategy=center_on_screen&amp;_doc_docfn=U2FsdGVkX1/XYPJDUAQ4imaavqpXUEqcUJPW4yRrVJNhaN5eJWepxPFTm/tndKAbOb7J1FIb9gxT3ReTqJ3DrYMFE28I2OCvVrYUxMHDt9I=&amp;_app_id=central_doc_viewer&amp;center_on_screen=true&amp;width=950&amp;height=800&amp;_dd2=%26f%3Dsld%26c%3Dtrue%26os%3D244859%26oe%3D244865" xr:uid="{1279B2F8-96EE-4A7A-B122-7C92E7B226A6}"/>
    <hyperlink ref="K72" r:id="rId348" display="fdsup://factset/Doc Viewer Single?float_window=true&amp;positioning_strategy=center_on_screen&amp;_doc_docfn=U2FsdGVkX18ZcPACLNzTWmlf6Xv/KweTYdr0u2KTO42febKISG0q6xDvQ9jO2VfY6+QDiI3/78XdWIctdQmH8suJBgK+nuAuEJMvDIjB6kM=&amp;_app_id=central_doc_viewer&amp;center_on_screen=true&amp;width=950&amp;height=800&amp;_dd2=%26f%3Dsld%26c%3Dtrue%26os%3D248101%26oe%3D248107" xr:uid="{F51F4F43-DA9D-4A85-9A32-575800784B52}"/>
    <hyperlink ref="C74" r:id="rId349" display="fdsup://factset/Doc Viewer Single?float_window=true&amp;positioning_strategy=center_on_screen&amp;_doc_docfn=U2FsdGVkX1/WyUj+JVs/2wT1iy/JftEXm8yrJ/caUloRQvfdTLTyQxD1MHF1c9ASBW3VnkSwNOvQ9I5r2Z3WW1m9E1iVfbKJnkuPJfOeYpY=&amp;_app_id=central_doc_viewer&amp;center_on_screen=true&amp;width=950&amp;height=800&amp;_dd2=%26f%3Dsld%26c%3Dtrue%26os%3D199963%26oe%3D199968" xr:uid="{88E58672-07D1-40CA-8C35-7643AEB3006E}"/>
    <hyperlink ref="D74" r:id="rId350" display="fdsup://factset/Doc Viewer Single?float_window=true&amp;positioning_strategy=center_on_screen&amp;_doc_docfn=U2FsdGVkX19+R9sObhaVMn33n+m45HKBTySOkukLa7fz/ND/RTA/t7vRUrzoiX01BpRiotV9xT/D2BVYP99bvRuHSOkQParVj+dVyMz7fjk=&amp;_app_id=central_doc_viewer&amp;center_on_screen=true&amp;width=950&amp;height=800&amp;_dd2=%26f%3Dsld%26c%3Dtrue%26os%3D171629%26oe%3D171634" xr:uid="{01BCCAD4-812D-4DA2-8D33-1035818B5387}"/>
    <hyperlink ref="E74" r:id="rId351" display="fdsup://factset/Doc Viewer Single?float_window=true&amp;positioning_strategy=center_on_screen&amp;_doc_docfn=U2FsdGVkX1+4ann841BiUXYO34iGpgZNB+2QnEGmL+4rSu63REqcv/xRV8rRpUzuoupmZC/xI9BL1GDvm+PghT3RpktmvW+9M8dYL/E/R5A=&amp;_app_id=central_doc_viewer&amp;center_on_screen=true&amp;width=950&amp;height=800&amp;_dd2=%26f%3Dsld%26c%3Dtrue%26os%3D160789%26oe%3D160794" xr:uid="{14F5A992-A20B-4AB3-8679-1557BE3C0BF4}"/>
    <hyperlink ref="F74" r:id="rId352" display="fdsup://factset/Doc Viewer Single?float_window=true&amp;positioning_strategy=center_on_screen&amp;_doc_docfn=U2FsdGVkX18+x8PkBYD9CrPKU8UfvZweZQOD6tg/G14YvNPToppx/N3ZFg8JBIpxFt6ELpL1RNeUdzTIdwz7zwIEq0kiH7OXbeipmsA7lNo=&amp;_app_id=central_doc_viewer&amp;center_on_screen=true&amp;width=950&amp;height=800&amp;_dd2=%26f%3Dsld%26c%3Dtrue%26os%3D263936%26oe%3D263941" xr:uid="{E9308768-C95D-49D7-BDD8-FD8FA9D58AF0}"/>
    <hyperlink ref="G74" r:id="rId353" display="fdsup://factset/Doc Viewer Single?float_window=true&amp;positioning_strategy=center_on_screen&amp;_doc_docfn=U2FsdGVkX197IFFNzU7Fej7Jxhgu9pC0kQtoFUGSelmUtO03dtaSht1MDfwaizQrL8Va0ujAbo5zM/xvthlAoo0Oa5nZ1wwNMNjkAoxGwWo=&amp;_app_id=central_doc_viewer&amp;center_on_screen=true&amp;width=950&amp;height=800&amp;_dd2=%26f%3Dsld%26c%3Dtrue%26os%3D390740%26oe%3D390745" xr:uid="{FA88D21D-963F-4210-8551-95E57AA63E7A}"/>
    <hyperlink ref="H74" r:id="rId354" display="fdsup://factset/Doc Viewer Single?float_window=true&amp;positioning_strategy=center_on_screen&amp;_doc_docfn=U2FsdGVkX1/9MEqL5n3m2Catd32dZOWXP6MWJuT7RcJvGifm6aHB84Sa35VKPR7Y4KFudU7Rt8V2Uul/4f5aXxyiQE/QcvT273jO6EdEsyM=&amp;_app_id=central_doc_viewer&amp;center_on_screen=true&amp;width=950&amp;height=800&amp;_dd2=%26f%3Dsld%26c%3Dtrue%26os%3D249899%26oe%3D249907" xr:uid="{E564C386-D48D-45A0-AED8-212842963AC7}"/>
    <hyperlink ref="C75" r:id="rId355" display="fdsup://factset/Doc Viewer Single?float_window=true&amp;positioning_strategy=center_on_screen&amp;_doc_docfn=U2FsdGVkX1/iqMLNz/nlmcxGB6WNRMGTcCB5dZ8RXG09BRV9l1DeaMKSjAGLfW+Sw79+cExnvw7HbFQN9I55p4/eAZM0norjaG1FfRlFeH8=&amp;_app_id=central_doc_viewer&amp;center_on_screen=true&amp;width=950&amp;height=800&amp;_dd2=%26f%3Dsld%26c%3Dtrue%26os%3D200711%26oe%3D200713" xr:uid="{A1E2C0CD-3487-4113-97B7-54EE4C0F0381}"/>
    <hyperlink ref="D75" r:id="rId356" display="fdsup://factset/Doc Viewer Single?float_window=true&amp;positioning_strategy=center_on_screen&amp;_doc_docfn=U2FsdGVkX1/VHqE9v4HVF7u3zfD+VDHDFssRL0dSgkPQIttAUqk11Iz1h5l+tMBjZugFmTfVfNUkzFNsxC6eZdeJjy7AXm9JtS+LOXCo+TI=&amp;_app_id=central_doc_viewer&amp;center_on_screen=true&amp;width=950&amp;height=800&amp;_dd2=%26f%3Dsld%26c%3Dtrue%26os%3D172408%26oe%3D172410" xr:uid="{D5AD3A80-62DB-4942-B401-35AE8324B264}"/>
    <hyperlink ref="E75" r:id="rId357" display="fdsup://factset/Doc Viewer Single?float_window=true&amp;positioning_strategy=center_on_screen&amp;_doc_docfn=U2FsdGVkX18AlnnyalKHZxbbpyuTWzxIj5/OSRzd5VxIHMXEbjrOhZzyrM48gB7EqsFqfwabXdyxdtXZqHiAmHL1EXKvhnULpUAzGAABdAo=&amp;_app_id=central_doc_viewer&amp;center_on_screen=true&amp;width=950&amp;height=800&amp;_dd2=%26f%3Dsld%26c%3Dtrue%26os%3D161568%26oe%3D161570" xr:uid="{EC3EB4AF-BBF7-4CED-9F2D-7E81CB3B622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CB96-0B0C-4D7D-8068-A2DBC449F0F1}">
  <sheetPr>
    <outlinePr summaryBelow="0" summaryRight="0"/>
  </sheetPr>
  <dimension ref="A1:M13"/>
  <sheetViews>
    <sheetView workbookViewId="0">
      <selection activeCell="H9" sqref="H9"/>
    </sheetView>
  </sheetViews>
  <sheetFormatPr defaultColWidth="9.140625" defaultRowHeight="15" customHeight="1" outlineLevelRow="1" x14ac:dyDescent="0.2"/>
  <cols>
    <col min="1" max="1" width="19.7109375" style="20" customWidth="1"/>
    <col min="2" max="7" width="7.85546875" style="20" customWidth="1"/>
    <col min="8" max="13" width="8.85546875" style="20" customWidth="1"/>
    <col min="14" max="16384" width="9.140625" style="20"/>
  </cols>
  <sheetData>
    <row r="1" spans="1:13" ht="15" customHeight="1" x14ac:dyDescent="0.2">
      <c r="A1" s="56" t="s">
        <v>172</v>
      </c>
    </row>
    <row r="2" spans="1:13" ht="15" customHeight="1" x14ac:dyDescent="0.2">
      <c r="A2" s="20" t="s">
        <v>173</v>
      </c>
    </row>
    <row r="3" spans="1:13" ht="15" customHeight="1" x14ac:dyDescent="0.2">
      <c r="A3" s="53"/>
      <c r="B3" s="53" t="s">
        <v>174</v>
      </c>
      <c r="C3" s="53" t="s">
        <v>175</v>
      </c>
      <c r="D3" s="53" t="s">
        <v>176</v>
      </c>
      <c r="E3" s="53" t="s">
        <v>177</v>
      </c>
      <c r="F3" s="53" t="s">
        <v>178</v>
      </c>
      <c r="G3" s="53" t="s">
        <v>179</v>
      </c>
      <c r="H3" s="53" t="s">
        <v>180</v>
      </c>
      <c r="I3" s="53" t="s">
        <v>181</v>
      </c>
      <c r="J3" s="53" t="s">
        <v>182</v>
      </c>
      <c r="K3" s="53" t="s">
        <v>183</v>
      </c>
      <c r="L3" s="53" t="s">
        <v>184</v>
      </c>
      <c r="M3" s="53" t="s">
        <v>185</v>
      </c>
    </row>
    <row r="4" spans="1:13" ht="15" customHeight="1" x14ac:dyDescent="0.2">
      <c r="A4" s="63"/>
      <c r="B4" s="63" t="s">
        <v>186</v>
      </c>
      <c r="C4" s="63" t="s">
        <v>187</v>
      </c>
      <c r="D4" s="63" t="s">
        <v>188</v>
      </c>
      <c r="E4" s="63" t="s">
        <v>189</v>
      </c>
      <c r="F4" s="63" t="s">
        <v>190</v>
      </c>
      <c r="G4" s="63" t="s">
        <v>191</v>
      </c>
      <c r="H4" s="63" t="s">
        <v>192</v>
      </c>
      <c r="I4" s="63" t="s">
        <v>193</v>
      </c>
      <c r="J4" s="63" t="s">
        <v>194</v>
      </c>
      <c r="K4" s="63" t="s">
        <v>195</v>
      </c>
      <c r="L4" s="63" t="s">
        <v>196</v>
      </c>
      <c r="M4" s="63" t="s">
        <v>197</v>
      </c>
    </row>
    <row r="5" spans="1:13" ht="15" customHeight="1" outlineLevel="1" x14ac:dyDescent="0.2">
      <c r="A5" s="49" t="s">
        <v>198</v>
      </c>
      <c r="B5" s="64">
        <v>161857</v>
      </c>
      <c r="C5" s="64">
        <v>182527</v>
      </c>
      <c r="D5" s="64">
        <v>257637</v>
      </c>
      <c r="E5" s="64">
        <v>282836</v>
      </c>
      <c r="F5" s="64">
        <v>307394</v>
      </c>
      <c r="G5" s="64">
        <v>350018</v>
      </c>
      <c r="H5" s="64">
        <v>400240</v>
      </c>
      <c r="I5" s="64">
        <v>457333</v>
      </c>
      <c r="J5" s="64">
        <v>517597</v>
      </c>
      <c r="K5" s="64">
        <v>583105</v>
      </c>
      <c r="L5" s="64">
        <v>643579</v>
      </c>
      <c r="M5" s="64">
        <v>714542</v>
      </c>
    </row>
    <row r="6" spans="1:13" ht="15" customHeight="1" outlineLevel="1" x14ac:dyDescent="0.2">
      <c r="A6" s="48" t="s">
        <v>199</v>
      </c>
      <c r="B6" s="47">
        <v>71896</v>
      </c>
      <c r="C6" s="47">
        <v>84732</v>
      </c>
      <c r="D6" s="47">
        <v>110939</v>
      </c>
      <c r="E6" s="47">
        <v>126203</v>
      </c>
      <c r="F6" s="47">
        <v>133332</v>
      </c>
      <c r="G6" s="47">
        <v>146306</v>
      </c>
      <c r="H6" s="47">
        <v>162390</v>
      </c>
      <c r="I6" s="47">
        <v>172527</v>
      </c>
      <c r="J6" s="47">
        <v>194597</v>
      </c>
      <c r="K6" s="47">
        <v>224924</v>
      </c>
      <c r="L6" s="47">
        <v>238254</v>
      </c>
      <c r="M6" s="47">
        <v>264236</v>
      </c>
    </row>
    <row r="7" spans="1:13" ht="15" customHeight="1" outlineLevel="1" x14ac:dyDescent="0.2">
      <c r="A7" s="49" t="s">
        <v>200</v>
      </c>
      <c r="B7" s="64">
        <v>89961</v>
      </c>
      <c r="C7" s="64">
        <v>97795</v>
      </c>
      <c r="D7" s="64">
        <v>146698</v>
      </c>
      <c r="E7" s="64">
        <v>156633</v>
      </c>
      <c r="F7" s="64">
        <v>174062</v>
      </c>
      <c r="G7" s="64">
        <v>203712</v>
      </c>
      <c r="H7" s="64">
        <v>238024</v>
      </c>
      <c r="I7" s="64">
        <v>272392</v>
      </c>
      <c r="J7" s="64">
        <v>308217</v>
      </c>
      <c r="K7" s="64">
        <v>343066</v>
      </c>
      <c r="L7" s="64">
        <v>385257</v>
      </c>
      <c r="M7" s="64">
        <v>427598</v>
      </c>
    </row>
    <row r="8" spans="1:13" ht="15" customHeight="1" outlineLevel="1" x14ac:dyDescent="0.2">
      <c r="A8" s="48" t="s">
        <v>201</v>
      </c>
      <c r="B8" s="47">
        <v>58682.8</v>
      </c>
      <c r="C8" s="47">
        <v>67912</v>
      </c>
      <c r="D8" s="47">
        <v>106531</v>
      </c>
      <c r="E8" s="47">
        <v>110132</v>
      </c>
      <c r="F8" s="47">
        <v>120582</v>
      </c>
      <c r="G8" s="47">
        <v>150486</v>
      </c>
      <c r="H8" s="47">
        <v>177367</v>
      </c>
      <c r="I8" s="47">
        <v>213548</v>
      </c>
      <c r="J8" s="47">
        <v>250279</v>
      </c>
      <c r="K8" s="47">
        <v>292557</v>
      </c>
      <c r="L8" s="47">
        <v>340523</v>
      </c>
      <c r="M8" s="47">
        <v>391214</v>
      </c>
    </row>
    <row r="9" spans="1:13" ht="15" customHeight="1" outlineLevel="1" x14ac:dyDescent="0.2">
      <c r="A9" s="49" t="s">
        <v>202</v>
      </c>
      <c r="B9" s="64">
        <v>34231</v>
      </c>
      <c r="C9" s="64">
        <v>41224</v>
      </c>
      <c r="D9" s="64">
        <v>78714</v>
      </c>
      <c r="E9" s="64">
        <v>74842</v>
      </c>
      <c r="F9" s="64">
        <v>84293</v>
      </c>
      <c r="G9" s="64">
        <v>112390</v>
      </c>
      <c r="H9" s="64">
        <v>130555</v>
      </c>
      <c r="I9" s="64">
        <v>153756</v>
      </c>
      <c r="J9" s="64">
        <v>179174</v>
      </c>
      <c r="K9" s="64">
        <v>204405</v>
      </c>
      <c r="L9" s="64">
        <v>232058</v>
      </c>
      <c r="M9" s="64">
        <v>261313</v>
      </c>
    </row>
    <row r="10" spans="1:13" ht="15" customHeight="1" outlineLevel="1" x14ac:dyDescent="0.2">
      <c r="A10" s="48" t="s">
        <v>203</v>
      </c>
      <c r="B10" s="24" t="s">
        <v>52</v>
      </c>
      <c r="C10" s="24" t="s">
        <v>52</v>
      </c>
      <c r="D10" s="24" t="s">
        <v>52</v>
      </c>
      <c r="E10" s="24" t="s">
        <v>52</v>
      </c>
      <c r="F10" s="24" t="s">
        <v>52</v>
      </c>
      <c r="G10" s="24" t="s">
        <v>52</v>
      </c>
      <c r="H10" s="47">
        <v>3959.53</v>
      </c>
      <c r="I10" s="47">
        <v>4026.4</v>
      </c>
      <c r="J10" s="47">
        <v>4870</v>
      </c>
      <c r="K10" s="47">
        <v>5275</v>
      </c>
      <c r="L10" s="47">
        <v>3278</v>
      </c>
      <c r="M10" s="47">
        <v>3352</v>
      </c>
    </row>
    <row r="11" spans="1:13" ht="15" customHeight="1" outlineLevel="1" x14ac:dyDescent="0.2">
      <c r="A11" s="49" t="s">
        <v>204</v>
      </c>
      <c r="B11" s="64">
        <v>39625</v>
      </c>
      <c r="C11" s="64">
        <v>48082</v>
      </c>
      <c r="D11" s="64">
        <v>90734</v>
      </c>
      <c r="E11" s="64">
        <v>71328</v>
      </c>
      <c r="F11" s="64">
        <v>85717</v>
      </c>
      <c r="G11" s="64">
        <v>119815</v>
      </c>
      <c r="H11" s="64">
        <v>157789</v>
      </c>
      <c r="I11" s="64">
        <v>162605</v>
      </c>
      <c r="J11" s="64">
        <v>186520</v>
      </c>
      <c r="K11" s="64">
        <v>211842</v>
      </c>
      <c r="L11" s="64">
        <v>247422</v>
      </c>
      <c r="M11" s="64">
        <v>282905</v>
      </c>
    </row>
    <row r="12" spans="1:13" ht="15" customHeight="1" outlineLevel="1" x14ac:dyDescent="0.2">
      <c r="A12" s="48" t="s">
        <v>205</v>
      </c>
      <c r="B12" s="47">
        <v>5282</v>
      </c>
      <c r="C12" s="47">
        <v>7813</v>
      </c>
      <c r="D12" s="47">
        <v>14701</v>
      </c>
      <c r="E12" s="47">
        <v>11356</v>
      </c>
      <c r="F12" s="47">
        <v>11922</v>
      </c>
      <c r="G12" s="47">
        <v>19697</v>
      </c>
      <c r="H12" s="47">
        <v>28063.9</v>
      </c>
      <c r="I12" s="47">
        <v>25777.4</v>
      </c>
      <c r="J12" s="47">
        <v>29825.200000000001</v>
      </c>
      <c r="K12" s="47">
        <v>35818.300000000003</v>
      </c>
      <c r="L12" s="47">
        <v>33688</v>
      </c>
      <c r="M12" s="47">
        <v>36759</v>
      </c>
    </row>
    <row r="13" spans="1:13" ht="15" customHeight="1" outlineLevel="1" x14ac:dyDescent="0.2">
      <c r="A13" s="49" t="s">
        <v>206</v>
      </c>
      <c r="B13" s="64">
        <v>34343</v>
      </c>
      <c r="C13" s="64">
        <v>40269</v>
      </c>
      <c r="D13" s="64">
        <v>76033</v>
      </c>
      <c r="E13" s="64">
        <v>59972</v>
      </c>
      <c r="F13" s="64">
        <v>73795</v>
      </c>
      <c r="G13" s="64">
        <v>100118</v>
      </c>
      <c r="H13" s="64">
        <v>129603</v>
      </c>
      <c r="I13" s="64">
        <v>135876</v>
      </c>
      <c r="J13" s="64">
        <v>155743</v>
      </c>
      <c r="K13" s="64">
        <v>176165</v>
      </c>
      <c r="L13" s="64">
        <v>203545</v>
      </c>
      <c r="M13" s="64">
        <v>231845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2F3C-9FDE-49AE-993B-C1C70A1718E8}">
  <sheetPr>
    <outlinePr summaryBelow="0" summaryRight="0"/>
  </sheetPr>
  <dimension ref="A1:M12"/>
  <sheetViews>
    <sheetView workbookViewId="0">
      <selection activeCell="K14" sqref="K14"/>
    </sheetView>
  </sheetViews>
  <sheetFormatPr defaultColWidth="9.140625" defaultRowHeight="15" customHeight="1" outlineLevelRow="1" x14ac:dyDescent="0.2"/>
  <cols>
    <col min="1" max="1" width="26.28515625" style="20" customWidth="1"/>
    <col min="2" max="5" width="7.7109375" style="20" customWidth="1"/>
    <col min="6" max="7" width="7.85546875" style="20" customWidth="1"/>
    <col min="8" max="13" width="8.85546875" style="20" customWidth="1"/>
    <col min="14" max="16384" width="9.140625" style="20"/>
  </cols>
  <sheetData>
    <row r="1" spans="1:13" ht="15" customHeight="1" x14ac:dyDescent="0.2">
      <c r="A1" s="56" t="s">
        <v>172</v>
      </c>
    </row>
    <row r="2" spans="1:13" ht="15" customHeight="1" x14ac:dyDescent="0.2">
      <c r="A2" s="20" t="s">
        <v>207</v>
      </c>
    </row>
    <row r="3" spans="1:13" ht="15" customHeight="1" x14ac:dyDescent="0.2">
      <c r="A3" s="53"/>
      <c r="B3" s="53" t="s">
        <v>174</v>
      </c>
      <c r="C3" s="53" t="s">
        <v>175</v>
      </c>
      <c r="D3" s="53" t="s">
        <v>176</v>
      </c>
      <c r="E3" s="53" t="s">
        <v>177</v>
      </c>
      <c r="F3" s="53" t="s">
        <v>178</v>
      </c>
      <c r="G3" s="53" t="s">
        <v>179</v>
      </c>
      <c r="H3" s="53" t="s">
        <v>180</v>
      </c>
      <c r="I3" s="53" t="s">
        <v>181</v>
      </c>
      <c r="J3" s="53" t="s">
        <v>182</v>
      </c>
      <c r="K3" s="53" t="s">
        <v>183</v>
      </c>
      <c r="L3" s="53" t="s">
        <v>184</v>
      </c>
      <c r="M3" s="53" t="s">
        <v>185</v>
      </c>
    </row>
    <row r="4" spans="1:13" ht="15" customHeight="1" x14ac:dyDescent="0.2">
      <c r="A4" s="63"/>
      <c r="B4" s="63" t="s">
        <v>186</v>
      </c>
      <c r="C4" s="63" t="s">
        <v>187</v>
      </c>
      <c r="D4" s="63" t="s">
        <v>188</v>
      </c>
      <c r="E4" s="63" t="s">
        <v>189</v>
      </c>
      <c r="F4" s="63" t="s">
        <v>190</v>
      </c>
      <c r="G4" s="63" t="s">
        <v>191</v>
      </c>
      <c r="H4" s="63" t="s">
        <v>192</v>
      </c>
      <c r="I4" s="63" t="s">
        <v>193</v>
      </c>
      <c r="J4" s="63" t="s">
        <v>194</v>
      </c>
      <c r="K4" s="63" t="s">
        <v>195</v>
      </c>
      <c r="L4" s="63" t="s">
        <v>196</v>
      </c>
      <c r="M4" s="63" t="s">
        <v>197</v>
      </c>
    </row>
    <row r="5" spans="1:13" ht="15" customHeight="1" outlineLevel="1" x14ac:dyDescent="0.2">
      <c r="A5" s="49" t="s">
        <v>208</v>
      </c>
      <c r="B5" s="64">
        <v>23548</v>
      </c>
      <c r="C5" s="64">
        <v>22281</v>
      </c>
      <c r="D5" s="64">
        <v>24640</v>
      </c>
      <c r="E5" s="64">
        <v>31485</v>
      </c>
      <c r="F5" s="64">
        <v>32251</v>
      </c>
      <c r="G5" s="64">
        <v>52535</v>
      </c>
      <c r="H5" s="64">
        <v>89125.8</v>
      </c>
      <c r="I5" s="64">
        <v>115437</v>
      </c>
      <c r="J5" s="64">
        <v>131411</v>
      </c>
      <c r="K5" s="64">
        <v>137222</v>
      </c>
      <c r="L5" s="64">
        <v>140447</v>
      </c>
      <c r="M5" s="64">
        <v>149738</v>
      </c>
    </row>
    <row r="6" spans="1:13" ht="15" customHeight="1" outlineLevel="1" x14ac:dyDescent="0.2">
      <c r="A6" s="48" t="s">
        <v>209</v>
      </c>
      <c r="B6" s="47">
        <v>30972</v>
      </c>
      <c r="C6" s="47">
        <v>42843</v>
      </c>
      <c r="D6" s="47">
        <v>67012</v>
      </c>
      <c r="E6" s="47">
        <v>60010</v>
      </c>
      <c r="F6" s="47">
        <v>69495</v>
      </c>
      <c r="G6" s="47">
        <v>72764</v>
      </c>
      <c r="H6" s="47">
        <v>65169.1</v>
      </c>
      <c r="I6" s="47">
        <v>69222.600000000006</v>
      </c>
      <c r="J6" s="47">
        <v>97273.2</v>
      </c>
      <c r="K6" s="47">
        <v>122873</v>
      </c>
      <c r="L6" s="47">
        <v>180735</v>
      </c>
      <c r="M6" s="47">
        <v>212748</v>
      </c>
    </row>
    <row r="7" spans="1:13" ht="15" customHeight="1" outlineLevel="1" x14ac:dyDescent="0.2">
      <c r="A7" s="49" t="s">
        <v>210</v>
      </c>
      <c r="B7" s="28" t="s">
        <v>52</v>
      </c>
      <c r="C7" s="28" t="s">
        <v>52</v>
      </c>
      <c r="D7" s="64">
        <v>1808</v>
      </c>
      <c r="E7" s="28" t="s">
        <v>52</v>
      </c>
      <c r="F7" s="28" t="s">
        <v>52</v>
      </c>
      <c r="G7" s="28" t="s">
        <v>52</v>
      </c>
      <c r="H7" s="28" t="s">
        <v>52</v>
      </c>
      <c r="I7" s="28" t="s">
        <v>52</v>
      </c>
      <c r="J7" s="28" t="s">
        <v>52</v>
      </c>
      <c r="K7" s="28" t="s">
        <v>52</v>
      </c>
      <c r="L7" s="28" t="s">
        <v>52</v>
      </c>
      <c r="M7" s="28" t="s">
        <v>52</v>
      </c>
    </row>
    <row r="8" spans="1:13" ht="15" customHeight="1" outlineLevel="1" x14ac:dyDescent="0.2">
      <c r="A8" s="48" t="s">
        <v>211</v>
      </c>
      <c r="B8" s="47">
        <v>54520</v>
      </c>
      <c r="C8" s="47">
        <v>65124</v>
      </c>
      <c r="D8" s="47">
        <v>91652</v>
      </c>
      <c r="E8" s="47">
        <v>91495</v>
      </c>
      <c r="F8" s="47">
        <v>101746</v>
      </c>
      <c r="G8" s="47">
        <v>125299</v>
      </c>
      <c r="H8" s="47">
        <v>157946</v>
      </c>
      <c r="I8" s="47">
        <v>188219</v>
      </c>
      <c r="J8" s="47">
        <v>224314</v>
      </c>
      <c r="K8" s="47">
        <v>274315</v>
      </c>
      <c r="L8" s="47">
        <v>322902</v>
      </c>
      <c r="M8" s="47">
        <v>370016</v>
      </c>
    </row>
    <row r="9" spans="1:13" ht="15" customHeight="1" outlineLevel="1" x14ac:dyDescent="0.2">
      <c r="A9" s="49" t="s">
        <v>212</v>
      </c>
      <c r="B9" s="65">
        <v>-29491</v>
      </c>
      <c r="C9" s="65">
        <v>-32773</v>
      </c>
      <c r="D9" s="65">
        <v>-35523</v>
      </c>
      <c r="E9" s="65">
        <v>-20298</v>
      </c>
      <c r="F9" s="65">
        <v>-27063</v>
      </c>
      <c r="G9" s="65">
        <v>-45536</v>
      </c>
      <c r="H9" s="65">
        <v>-90226.6</v>
      </c>
      <c r="I9" s="65">
        <v>-111287</v>
      </c>
      <c r="J9" s="65">
        <v>-120243</v>
      </c>
      <c r="K9" s="65">
        <v>-139966</v>
      </c>
      <c r="L9" s="65">
        <v>-146140</v>
      </c>
      <c r="M9" s="65">
        <v>-152693</v>
      </c>
    </row>
    <row r="10" spans="1:13" ht="15" customHeight="1" outlineLevel="1" x14ac:dyDescent="0.2">
      <c r="A10" s="48" t="s">
        <v>213</v>
      </c>
      <c r="B10" s="57">
        <v>-23209</v>
      </c>
      <c r="C10" s="57">
        <v>-24408</v>
      </c>
      <c r="D10" s="57">
        <v>-61362</v>
      </c>
      <c r="E10" s="57">
        <v>-69757</v>
      </c>
      <c r="F10" s="57">
        <v>-72093</v>
      </c>
      <c r="G10" s="57">
        <v>-79733</v>
      </c>
      <c r="H10" s="57">
        <v>-60165.4</v>
      </c>
      <c r="I10" s="57">
        <v>-64432.1</v>
      </c>
      <c r="J10" s="57">
        <v>-77179.5</v>
      </c>
      <c r="K10" s="57">
        <v>-89971</v>
      </c>
      <c r="L10" s="57">
        <v>-112023</v>
      </c>
      <c r="M10" s="57">
        <v>-134761</v>
      </c>
    </row>
    <row r="12" spans="1:13" ht="15" customHeight="1" x14ac:dyDescent="0.2">
      <c r="A12" s="20" t="s">
        <v>35</v>
      </c>
      <c r="H12" s="64">
        <v>21703</v>
      </c>
      <c r="I12" s="64">
        <v>30959.5</v>
      </c>
      <c r="J12" s="64">
        <v>42393.9</v>
      </c>
      <c r="K12" s="64">
        <v>58174.5</v>
      </c>
      <c r="L12" s="64">
        <v>74564.100000000006</v>
      </c>
      <c r="M12" s="64">
        <v>91638.399999999994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DCF</vt:lpstr>
      <vt:lpstr>WACC</vt:lpstr>
      <vt:lpstr>Shares</vt:lpstr>
      <vt:lpstr>IS - Historical</vt:lpstr>
      <vt:lpstr>CFS - Historicals</vt:lpstr>
      <vt:lpstr>IS - Estimates</vt:lpstr>
      <vt:lpstr>CFS -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Stojanovski</dc:creator>
  <cp:lastModifiedBy>Brendan Stojanovski</cp:lastModifiedBy>
  <dcterms:created xsi:type="dcterms:W3CDTF">2026-06-06T00:40:31Z</dcterms:created>
  <dcterms:modified xsi:type="dcterms:W3CDTF">2026-06-09T16:11:37Z</dcterms:modified>
</cp:coreProperties>
</file>